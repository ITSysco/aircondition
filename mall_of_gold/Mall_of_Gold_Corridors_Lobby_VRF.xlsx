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لخص" sheetId="1" state="visible" r:id="rId3"/>
    <sheet name="الافتراضات" sheetId="2" state="visible" r:id="rId4"/>
    <sheet name="حساب الأحمال" sheetId="3" state="visible" r:id="rId5"/>
    <sheet name="مقايسة الكوريدور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<sst xmlns="http://schemas.openxmlformats.org/spreadsheetml/2006/main" count="263" uniqueCount="205">
  <si>
    <t xml:space="preserve">مول الذهب — تكييف الكوريدور والبهو (Carrier VRF)</t>
  </si>
  <si>
    <t xml:space="preserve">حصر الكوريدور والبهو الدائري فقط — عرض مستقل (المحلات لها حصر وعرض منفصل)</t>
  </si>
  <si>
    <t xml:space="preserve">الدور</t>
  </si>
  <si>
    <t xml:space="preserve">المساحة الصافية م²</t>
  </si>
  <si>
    <t xml:space="preserve">الحمل التصميمي TR</t>
  </si>
  <si>
    <t xml:space="preserve">القدرة المركبة TR</t>
  </si>
  <si>
    <t xml:space="preserve">عدد الوحدات الداخلية</t>
  </si>
  <si>
    <t xml:space="preserve">م² لكل طن</t>
  </si>
  <si>
    <t xml:space="preserve">البدروم</t>
  </si>
  <si>
    <t xml:space="preserve">الأرضي</t>
  </si>
  <si>
    <t xml:space="preserve">الأول</t>
  </si>
  <si>
    <t xml:space="preserve">الثاني</t>
  </si>
  <si>
    <t xml:space="preserve">الثالث</t>
  </si>
  <si>
    <t xml:space="preserve">البهو الدائري</t>
  </si>
  <si>
    <t xml:space="preserve">الإجمالي</t>
  </si>
  <si>
    <t xml:space="preserve">إجمالي العرض (جنيه) — الكوريدور + البهو الدائري</t>
  </si>
  <si>
    <t xml:space="preserve">ملاحظة: بنود الدكت ومخارج الهواء (رابعاً) بدون سعر لحد ما تتسعّر — الإجمالي أعلاه لا يشملها بعد</t>
  </si>
  <si>
    <t xml:space="preserve">أساس الحساب ونقاط تحتاج تأكيد:</t>
  </si>
  <si>
    <t xml:space="preserve">0) التحجيم المعتمد: طن تبريد لكل 15 م² (شيت الافتراضات). الحساب التفصيلي بالأحمال موجود في شيت حساب الأحمال للمقارنة — غيّر الطريقة لـ 0 لاستخدامه.</t>
  </si>
  <si>
    <t xml:space="preserve">1) الأبعاد من العميل: كوريدور 250 × 3 م في كل دور (750 م²) × 5 أدوار، ارتفاع الدور 3.5 م. البهو المطلوب تكييفه = البهو الدائري فقط (مفتوح من البدروم للسقف 17.5 م). البهوين البيضاويين مستبعدين (القيمة في عمود "يدخل في الإجمالي" = 0 — ضع 1 لإضافتهم).</t>
  </si>
  <si>
    <t xml:space="preserve">2) البهو الدائري: قطر 10 م. تم اعتبار "10 سم" المكتوبة في الرسالة خطأ كتابي وإن المقصود 10 م.</t>
  </si>
  <si>
    <t xml:space="preserve">3) افتراض إن فوق البهو الدائري سكاي لايت بنفس مساحته. لو السقف مصمت غيّر مساحة السكاي لايت لـ 0. وحداته محمّلة على سيستم البدروم.</t>
  </si>
  <si>
    <t xml:space="preserve">4) الهواء النقي للكوريدورات (ASHRAE 62.1) محمّل على الوحدات. لو هيتعالج في منظومة الـ 75,000 CFM المنفصلة غيّر المفتاح في شيت الافتراضات لـ 0.</t>
  </si>
  <si>
    <t xml:space="preserve">5) البهو المفتوح الكبير في البدروم اللي في اللوحة (≈1,665 م²، مكتوب عليه Not Enclosed) مش داخل هنا لأنه مش في الوصف — يتضاف لو العميل عايزه.</t>
  </si>
  <si>
    <t xml:space="preserve">6) مقترح: سيستم خارجي مستقل للكوريدورات في كل دور (منطقة مشتركة للمالك) عشان الفوترة تفضل منفصلة عن عدادات المستأجرين.</t>
  </si>
  <si>
    <t xml:space="preserve">افتراضات حساب أحمال الممرات والبهو — مول الذهب (VRF)</t>
  </si>
  <si>
    <t xml:space="preserve">الخلايا الزرقاء على خلفية صفراء مدخلات يمكن تعديلها — كل الحسابات في الشيتات الأخرى مرتبطة بها تلقائياً</t>
  </si>
  <si>
    <t xml:space="preserve">البند</t>
  </si>
  <si>
    <t xml:space="preserve">القيمة</t>
  </si>
  <si>
    <t xml:space="preserve">الوحدة</t>
  </si>
  <si>
    <t xml:space="preserve">المصدر / ملاحظة</t>
  </si>
  <si>
    <t xml:space="preserve">درجة الحرارة الخارجية التصميمية (صيف)</t>
  </si>
  <si>
    <t xml:space="preserve">°C</t>
  </si>
  <si>
    <t xml:space="preserve">الكود المصري للتكييف — القاهرة</t>
  </si>
  <si>
    <t xml:space="preserve">درجة حرارة الممرات الداخلية</t>
  </si>
  <si>
    <t xml:space="preserve">ممرات تجارية 24–25°C</t>
  </si>
  <si>
    <t xml:space="preserve">فرق المحتوى الرطوبي خارج/داخل</t>
  </si>
  <si>
    <t xml:space="preserve">kg/kg</t>
  </si>
  <si>
    <t xml:space="preserve">43°C/24°C WB خارجي مقابل 24°C/50% داخلي</t>
  </si>
  <si>
    <t xml:space="preserve">كثافة الأشخاص في الممرات</t>
  </si>
  <si>
    <t xml:space="preserve">شخص/م²</t>
  </si>
  <si>
    <t xml:space="preserve">ASHRAE 62.1 تذكر 0.4 للمناطق المشتركة في المولات — 0.3 قيمة تصميمية للممرات</t>
  </si>
  <si>
    <t xml:space="preserve">حمل محسوس لكل شخص</t>
  </si>
  <si>
    <t xml:space="preserve">W</t>
  </si>
  <si>
    <t xml:space="preserve">ASHRAE Fundamentals — مشي/وقوف في محل تجاري</t>
  </si>
  <si>
    <t xml:space="preserve">حمل كامن لكل شخص</t>
  </si>
  <si>
    <t xml:space="preserve">ASHRAE Fundamentals</t>
  </si>
  <si>
    <t xml:space="preserve">كثافة الإضاءة</t>
  </si>
  <si>
    <t xml:space="preserve">W/م²</t>
  </si>
  <si>
    <t xml:space="preserve">إضاءة ممرات مول ذهب (ديكورية) — راجع مع الاستشاري</t>
  </si>
  <si>
    <t xml:space="preserve">معدات/شاشات/لافتات</t>
  </si>
  <si>
    <t xml:space="preserve">افتراض</t>
  </si>
  <si>
    <t xml:space="preserve">هواء نقي لكل شخص</t>
  </si>
  <si>
    <t xml:space="preserve">L/s/شخص</t>
  </si>
  <si>
    <t xml:space="preserve">ASHRAE 62.1 — Mall common areas</t>
  </si>
  <si>
    <t xml:space="preserve">هواء نقي لكل متر مربع</t>
  </si>
  <si>
    <t xml:space="preserve">L/s/م²</t>
  </si>
  <si>
    <t xml:space="preserve">تحميل الهواء النقي على وحدات الممرات؟ (1=نعم / 0=لا)</t>
  </si>
  <si>
    <t xml:space="preserve">—</t>
  </si>
  <si>
    <t xml:space="preserve">1 = الوحدات الداخلية للممرات تبرّد هواءها النقي. ضع 0 لو هيتعالج في منظومة الهواء النقي المنفصلة (75,000 CFM)</t>
  </si>
  <si>
    <t xml:space="preserve">معامل انتقال حرارة الزجاج (دبل جلاس)</t>
  </si>
  <si>
    <t xml:space="preserve">W/م²K</t>
  </si>
  <si>
    <t xml:space="preserve">افتراض — يُراجع مع مواصفات الواجهة</t>
  </si>
  <si>
    <t xml:space="preserve">الكسب الشمسي الفعلي عبر زجاج الواجهة</t>
  </si>
  <si>
    <t xml:space="preserve">ذروة متوسط الاتجاهات بعد SHGC≈0.4 و CLF — افتراض</t>
  </si>
  <si>
    <t xml:space="preserve">الارتفاع الزجاجي للواجهة المجاورة للممر</t>
  </si>
  <si>
    <t xml:space="preserve">م</t>
  </si>
  <si>
    <t xml:space="preserve">افتراض — ارتفاع الدور 3.5 م</t>
  </si>
  <si>
    <t xml:space="preserve">معامل انتقال حرارة السكاي لايت</t>
  </si>
  <si>
    <t xml:space="preserve">الكسب الشمسي عبر السكاي لايت</t>
  </si>
  <si>
    <t xml:space="preserve">إشعاع أفقي ≈850 W/م² × SHGC 0.3 × CLF 0.8</t>
  </si>
  <si>
    <t xml:space="preserve">نسبة حمل السكاي لايت الواصلة لمنطقة الإشغال</t>
  </si>
  <si>
    <t xml:space="preserve">الطبقات الساخنة تتجمع أعلى الأتريوم — 70% تحفظي</t>
  </si>
  <si>
    <t xml:space="preserve">معامل انتقال حرارة السقف المعزول</t>
  </si>
  <si>
    <t xml:space="preserve">فرق درجة الحرارة المكافئ للسقف</t>
  </si>
  <si>
    <t xml:space="preserve">K</t>
  </si>
  <si>
    <t xml:space="preserve">CLTD سقف خرساني معزول — القاهرة</t>
  </si>
  <si>
    <t xml:space="preserve">ارتفاع الدور</t>
  </si>
  <si>
    <t xml:space="preserve">من العميل</t>
  </si>
  <si>
    <t xml:space="preserve">معامل أمان</t>
  </si>
  <si>
    <t xml:space="preserve">ممارسة معتادة (للحساب التفصيلي فقط)</t>
  </si>
  <si>
    <t xml:space="preserve">طريقة التحجيم (1 = م² لكل طن / 0 = الحساب التفصيلي)</t>
  </si>
  <si>
    <t xml:space="preserve">معتمد: 1 — طن تبريد لكل 15 م² (قرار الشركة)</t>
  </si>
  <si>
    <t xml:space="preserve">متر مربع لكل طن تبريد</t>
  </si>
  <si>
    <t xml:space="preserve">م²/TR</t>
  </si>
  <si>
    <t xml:space="preserve">معتمد من الشركة</t>
  </si>
  <si>
    <t xml:space="preserve">وات لكل طن تبريد</t>
  </si>
  <si>
    <t xml:space="preserve">W/TR</t>
  </si>
  <si>
    <t xml:space="preserve">ثابت</t>
  </si>
  <si>
    <t xml:space="preserve">كثافة الهواء</t>
  </si>
  <si>
    <t xml:space="preserve">kg/م³</t>
  </si>
  <si>
    <t xml:space="preserve">الحرارة النوعية للهواء</t>
  </si>
  <si>
    <t xml:space="preserve">kJ/kg.K</t>
  </si>
  <si>
    <t xml:space="preserve">الحرارة الكامنة للتبخير</t>
  </si>
  <si>
    <t xml:space="preserve">kJ/kg</t>
  </si>
  <si>
    <t xml:space="preserve">معدل الهواء لكل طن</t>
  </si>
  <si>
    <t xml:space="preserve">CFM/TR</t>
  </si>
  <si>
    <t xml:space="preserve">لحساب عدد مخارج الهواء</t>
  </si>
  <si>
    <t xml:space="preserve">تصرف مخرج الهواء الخطي</t>
  </si>
  <si>
    <t xml:space="preserve">CFM</t>
  </si>
  <si>
    <t xml:space="preserve">Linear slot diffuser من مقايسة الاستشاري</t>
  </si>
  <si>
    <t xml:space="preserve">حساب أحمال تكييف الممرات والبهو — لكل منطقة</t>
  </si>
  <si>
    <t xml:space="preserve">الأبعاد من العميل: كوريدور 250 × 3 م في كل دور من 5 أدوار (ارتفاع الدور 3.5 م) + 3 بهوات مفتوحة على الـ 5 أدوار (المبنى حلقة infinity مفتوحة)</t>
  </si>
  <si>
    <t xml:space="preserve">المنطقة</t>
  </si>
  <si>
    <t xml:space="preserve">طول الواجهة الزجاجية م</t>
  </si>
  <si>
    <t xml:space="preserve">مساحة الزجاج م²</t>
  </si>
  <si>
    <t xml:space="preserve">سكاي لايت / فتحة سماوية م²</t>
  </si>
  <si>
    <t xml:space="preserve">سقف معرض للشمس م²</t>
  </si>
  <si>
    <t xml:space="preserve">تسريب ACH</t>
  </si>
  <si>
    <t xml:space="preserve">عدد الأشخاص</t>
  </si>
  <si>
    <t xml:space="preserve">أشخاص محسوس W</t>
  </si>
  <si>
    <t xml:space="preserve">أشخاص كامن W</t>
  </si>
  <si>
    <t xml:space="preserve">إضاءة W</t>
  </si>
  <si>
    <t xml:space="preserve">معدات W</t>
  </si>
  <si>
    <t xml:space="preserve">زجاج W</t>
  </si>
  <si>
    <t xml:space="preserve">سكاي لايت W</t>
  </si>
  <si>
    <t xml:space="preserve">سقف W</t>
  </si>
  <si>
    <t xml:space="preserve">تسريب محسوس W</t>
  </si>
  <si>
    <t xml:space="preserve">تسريب كامن W</t>
  </si>
  <si>
    <t xml:space="preserve">هواء نقي L/s</t>
  </si>
  <si>
    <t xml:space="preserve">هواء نقي محسوس W</t>
  </si>
  <si>
    <t xml:space="preserve">هواء نقي كامن W</t>
  </si>
  <si>
    <t xml:space="preserve">الحمل بدون هواء نقي kW</t>
  </si>
  <si>
    <t xml:space="preserve">الحمل الكلي kW</t>
  </si>
  <si>
    <t xml:space="preserve">الحمل التصميمي TR (المعتمد)</t>
  </si>
  <si>
    <t xml:space="preserve">يدخل في الإجمالي (1/0)</t>
  </si>
  <si>
    <t xml:space="preserve">مقاس الوحدة الداخلية TR</t>
  </si>
  <si>
    <t xml:space="preserve">عدد الوحدات</t>
  </si>
  <si>
    <t xml:space="preserve">ملاحظات</t>
  </si>
  <si>
    <t xml:space="preserve">الكوريدور</t>
  </si>
  <si>
    <t xml:space="preserve">250 م طول × 3 م عرض — أبعاد من العميل. بدروم: بدون واجهات خارجية</t>
  </si>
  <si>
    <t xml:space="preserve">250 × 3 م. تسريب أعلى بسبب مداخل المول. طول الواجهة الزجاجية مقاس من لوحة المعماري</t>
  </si>
  <si>
    <t xml:space="preserve">250 × 3 م. طول الواجهة الزجاجية مقاس من اللوحة</t>
  </si>
  <si>
    <t xml:space="preserve">250 × 3 م — آخر دور تحت السقف مباشرة</t>
  </si>
  <si>
    <t xml:space="preserve">البهو الدائري (يمين) — قطر 10 م، مفتوح 5 أدوار</t>
  </si>
  <si>
    <t xml:space="preserve">مساحة القاع = π×10²/4. ارتفاع 5 أدوار × 3.5 م = 17.5 م. سكاي لايت فوقه بنفس المساحة (افتراض)</t>
  </si>
  <si>
    <t xml:space="preserve">البهوات</t>
  </si>
  <si>
    <t xml:space="preserve">[مستبعد] البهو البيضاوي الكبير (شمال) — 30 × 15 م، مفتوح 5 أدوار</t>
  </si>
  <si>
    <t xml:space="preserve">مساحة القطع الناقص = π×30×15/4. سكاي لايت فوقه بنفس المساحة (افتراض)</t>
  </si>
  <si>
    <t xml:space="preserve">[مستبعد] البهو البيضاوي الصغير (المنتصف) — 20 × 5 م، مفتوح 5 أدوار</t>
  </si>
  <si>
    <t xml:space="preserve">مساحة القطع الناقص = π×20×5/4. سكاي لايت فوقه بنفس المساحة (افتراض)</t>
  </si>
  <si>
    <t xml:space="preserve">الإجمالي (البنود المُدرجة فقط)</t>
  </si>
  <si>
    <t xml:space="preserve">المساحات من أبعاد العميل. أطوال الواجهات الزجاجية المجاورة للكوريدور مقاسة من لوحة المعماري (DWG) — تُعدل لو مختلفة.</t>
  </si>
  <si>
    <t xml:space="preserve">مقايسة تكييف الكوريدور والبهو الدائري — Carrier VRF (عرض مستقل عن المحلات)</t>
  </si>
  <si>
    <t xml:space="preserve">عرض منفصل للكوريدور والبهو فقط — المحلات لها حصر وعرض منفصل. أسعار الفئة مأخوذة من مقايسة الـ VRF للمحلات كمرجع، والخلايا الصفراء قابلة للتعديل.</t>
  </si>
  <si>
    <t xml:space="preserve">معامل التسعير (1 = أسعار المقايسة كما هي)</t>
  </si>
  <si>
    <t xml:space="preserve">بند</t>
  </si>
  <si>
    <t xml:space="preserve">بيان الأعمال</t>
  </si>
  <si>
    <t xml:space="preserve">الماركة</t>
  </si>
  <si>
    <t xml:space="preserve">الكمية</t>
  </si>
  <si>
    <t xml:space="preserve">سعر الفئة (جنيه)</t>
  </si>
  <si>
    <t xml:space="preserve">الإجمالي (جنيه)</t>
  </si>
  <si>
    <t xml:space="preserve">أولاً: الوحدات الخارجية والداخلية (Carrier VRF)</t>
  </si>
  <si>
    <t xml:space="preserve">1.1</t>
  </si>
  <si>
    <t xml:space="preserve">توريد وتركيب واختبار وتشغيل وحدات Carrier VRF خارجية بغاز R-410A — سيستم مستقل للممرات في كل دور (منطقة مشتركة للمالك — منفصلة عن عدادات المستأجرين)، شاملة القواعد وممتصات الاهتزاز وكروت الربط.</t>
  </si>
  <si>
    <t xml:space="preserve">كاريير (Carrier)</t>
  </si>
  <si>
    <t xml:space="preserve">طن</t>
  </si>
  <si>
    <t xml:space="preserve">1.2</t>
  </si>
  <si>
    <t xml:space="preserve">توريد وتركيب وحدات داخلية مخفية Concealed Ducted (High Static) كاريير VRF شاملة الفلتر ومضخة الصرف والترموستات والتعاليق.</t>
  </si>
  <si>
    <t xml:space="preserve">وحدة داخلية ذات قدرة 4 طن تبريدي , 14 كيلو وات</t>
  </si>
  <si>
    <t xml:space="preserve">عدد</t>
  </si>
  <si>
    <t xml:space="preserve">وحدة داخلية ذات قدرة 5 طن تبريدي , 17 كيلو وات</t>
  </si>
  <si>
    <t xml:space="preserve">وحدة داخلية ذات قدرة 6 طن تبريدي , 21 كيلو وات</t>
  </si>
  <si>
    <t xml:space="preserve">ثانياً: شبكة مواسير الفريون والوصلات والمحابس</t>
  </si>
  <si>
    <t xml:space="preserve">2.1</t>
  </si>
  <si>
    <t xml:space="preserve">مواسير نحاس Seamless جنتيان ميراكو معزولة Armaflex 19 مم شاملة الحوامل واختبار النيتروجين والتفريغ</t>
  </si>
  <si>
    <t xml:space="preserve">جنتيان ميراكو</t>
  </si>
  <si>
    <t xml:space="preserve">متر طولي</t>
  </si>
  <si>
    <t xml:space="preserve">2.2</t>
  </si>
  <si>
    <t xml:space="preserve">وصلات تشعيب Y-Branch / Refnet كاريير معزولة</t>
  </si>
  <si>
    <t xml:space="preserve">2.3</t>
  </si>
  <si>
    <t xml:space="preserve">محابس كروية لخطوط الفريون لكل وحدة داخلية</t>
  </si>
  <si>
    <t xml:space="preserve">ثالثاً: التحكم وعدادات الطاقة</t>
  </si>
  <si>
    <t xml:space="preserve">3.1</t>
  </si>
  <si>
    <t xml:space="preserve">عدادات طاقة رقمية ذكية للموديولات الخارجية للممرات مربوطة بشاشة العرض المركزية</t>
  </si>
  <si>
    <t xml:space="preserve">رابعاً: توزيع الهواء (ينتظر التسعير)</t>
  </si>
  <si>
    <t xml:space="preserve">4.1</t>
  </si>
  <si>
    <t xml:space="preserve">دكت صاج مجلفن معزول شامل الحوامل والوصلات المرنة وأبواب الخدمة (تقدير أولي)</t>
  </si>
  <si>
    <t xml:space="preserve">م²</t>
  </si>
  <si>
    <t xml:space="preserve">ضع سعر المتر في جدول الأسعار</t>
  </si>
  <si>
    <t xml:space="preserve">4.2</t>
  </si>
  <si>
    <t xml:space="preserve">مخارج هواء خطية Linear slot diffuser 160 CFM + مخارج راجع</t>
  </si>
  <si>
    <t xml:space="preserve">ضع سعر المخرج في جدول الأسعار</t>
  </si>
  <si>
    <t xml:space="preserve">الإجمـــالي (جنيه)</t>
  </si>
  <si>
    <t xml:space="preserve">أسعار ومعاملات المقايسة</t>
  </si>
  <si>
    <t xml:space="preserve">سعر الطن للوحدات الخارجية</t>
  </si>
  <si>
    <t xml:space="preserve">7,702,500 ÷ 197.5 طن من مقايسة الـ VRF</t>
  </si>
  <si>
    <t xml:space="preserve">سعر الطن للوحدات الداخلية الدكت</t>
  </si>
  <si>
    <t xml:space="preserve">104,000 ÷ 4 طن من مقايسة الـ VRF</t>
  </si>
  <si>
    <t xml:space="preserve">متر نحاس لكل وحدة داخلية</t>
  </si>
  <si>
    <t xml:space="preserve">المقايسة الأصلية 10 م — الممرات أطول مسارات (مول ممتد)</t>
  </si>
  <si>
    <t xml:space="preserve">سعر متر النحاس</t>
  </si>
  <si>
    <t xml:space="preserve">مقايسة الـ VRF</t>
  </si>
  <si>
    <t xml:space="preserve">سعر وصلة التشعيب</t>
  </si>
  <si>
    <t xml:space="preserve">سعر المحبس الكروي</t>
  </si>
  <si>
    <t xml:space="preserve">سعر عداد الطاقة</t>
  </si>
  <si>
    <t xml:space="preserve">طن لكل عداد (موديول)</t>
  </si>
  <si>
    <t xml:space="preserve">مقايسة الـ VRF: 45 عداد لـ 1079 طن</t>
  </si>
  <si>
    <t xml:space="preserve">نسبة القدرة الخارجية للداخلية</t>
  </si>
  <si>
    <t xml:space="preserve">مقايسة الـ VRF سعّرت الخارجي = مجموع الداخلي (100%)</t>
  </si>
  <si>
    <t xml:space="preserve">م² صاج دكت لكل م² ممر</t>
  </si>
  <si>
    <t xml:space="preserve">تقدير أولي — يُراجع باللوحات التنفيذية</t>
  </si>
  <si>
    <t xml:space="preserve">سعر م² دكت صاج مجلفن معزول</t>
  </si>
  <si>
    <t xml:space="preserve">ينتظر التسعير</t>
  </si>
  <si>
    <t xml:space="preserve">سعر مخرج هواء خطي 160 CFM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</si>
</sst>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"/>
    <numFmt numFmtId="167" formatCode="0.0"/>
    <numFmt numFmtId="168" formatCode="0.000"/>
    <numFmt numFmtId="169" formatCode="0.00"/>
    <numFmt numFmtId="170" formatCode="0"/>
    <numFmt numFmtId="171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8"/>
    <col collapsed="false" customWidth="true" hidden="false" outlineLevel="0" max="6" min="6" style="0" width="14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SUMPRODUCT(('حساب الأحمال'!$B$5:$B$12=A5)*'حساب الأحمال'!$D$5:$D$12*'حساب الأحمال'!$AA$5:$AA$12)</f>
        <v>750</v>
      </c>
      <c r="C5" s="6" t="n">
        <f aca="false">SUMPRODUCT(('حساب الأحمال'!$B$5:$B$12=A5)*'حساب الأحمال'!$Y$5:$Y$12*'حساب الأحمال'!$AA$5:$AA$12)</f>
        <v>50</v>
      </c>
      <c r="D5" s="6" t="n">
        <f aca="false">SUMPRODUCT(('حساب الأحمال'!$B$5:$B$12=A5)*'حساب الأحمال'!$AD$5:$AD$12*'حساب الأحمال'!$AA$5:$AA$12)</f>
        <v>52</v>
      </c>
      <c r="E5" s="5" t="n">
        <f aca="false">SUMPRODUCT(('حساب الأحمال'!$B$5:$B$12=A5)*'حساب الأحمال'!$AC$5:$AC$12*'حساب الأحمال'!$AA$5:$AA$12)</f>
        <v>13</v>
      </c>
      <c r="F5" s="7" t="n">
        <f aca="false">IF(C5&gt;0,B5/C5,0)</f>
        <v>15</v>
      </c>
    </row>
    <row r="6" customFormat="false" ht="15" hidden="false" customHeight="false" outlineLevel="0" collapsed="false">
      <c r="A6" s="4" t="s">
        <v>9</v>
      </c>
      <c r="B6" s="5" t="n">
        <f aca="false">SUMPRODUCT(('حساب الأحمال'!$B$5:$B$12=A6)*'حساب الأحمال'!$D$5:$D$12*'حساب الأحمال'!$AA$5:$AA$12)</f>
        <v>750</v>
      </c>
      <c r="C6" s="6" t="n">
        <f aca="false">SUMPRODUCT(('حساب الأحمال'!$B$5:$B$12=A6)*'حساب الأحمال'!$Y$5:$Y$12*'حساب الأحمال'!$AA$5:$AA$12)</f>
        <v>50</v>
      </c>
      <c r="D6" s="6" t="n">
        <f aca="false">SUMPRODUCT(('حساب الأحمال'!$B$5:$B$12=A6)*'حساب الأحمال'!$AD$5:$AD$12*'حساب الأحمال'!$AA$5:$AA$12)</f>
        <v>52</v>
      </c>
      <c r="E6" s="5" t="n">
        <f aca="false">SUMPRODUCT(('حساب الأحمال'!$B$5:$B$12=A6)*'حساب الأحمال'!$AC$5:$AC$12*'حساب الأحمال'!$AA$5:$AA$12)</f>
        <v>13</v>
      </c>
      <c r="F6" s="7" t="n">
        <f aca="false">IF(C6&gt;0,B6/C6,0)</f>
        <v>15</v>
      </c>
    </row>
    <row r="7" customFormat="false" ht="15" hidden="false" customHeight="false" outlineLevel="0" collapsed="false">
      <c r="A7" s="4" t="s">
        <v>10</v>
      </c>
      <c r="B7" s="5" t="n">
        <f aca="false">SUMPRODUCT(('حساب الأحمال'!$B$5:$B$12=A7)*'حساب الأحمال'!$D$5:$D$12*'حساب الأحمال'!$AA$5:$AA$12)</f>
        <v>750</v>
      </c>
      <c r="C7" s="6" t="n">
        <f aca="false">SUMPRODUCT(('حساب الأحمال'!$B$5:$B$12=A7)*'حساب الأحمال'!$Y$5:$Y$12*'حساب الأحمال'!$AA$5:$AA$12)</f>
        <v>50</v>
      </c>
      <c r="D7" s="6" t="n">
        <f aca="false">SUMPRODUCT(('حساب الأحمال'!$B$5:$B$12=A7)*'حساب الأحمال'!$AD$5:$AD$12*'حساب الأحمال'!$AA$5:$AA$12)</f>
        <v>52</v>
      </c>
      <c r="E7" s="5" t="n">
        <f aca="false">SUMPRODUCT(('حساب الأحمال'!$B$5:$B$12=A7)*'حساب الأحمال'!$AC$5:$AC$12*'حساب الأحمال'!$AA$5:$AA$12)</f>
        <v>13</v>
      </c>
      <c r="F7" s="7" t="n">
        <f aca="false">IF(C7&gt;0,B7/C7,0)</f>
        <v>15</v>
      </c>
    </row>
    <row r="8" customFormat="false" ht="15" hidden="false" customHeight="false" outlineLevel="0" collapsed="false">
      <c r="A8" s="4" t="s">
        <v>11</v>
      </c>
      <c r="B8" s="5" t="n">
        <f aca="false">SUMPRODUCT(('حساب الأحمال'!$B$5:$B$12=A8)*'حساب الأحمال'!$D$5:$D$12*'حساب الأحمال'!$AA$5:$AA$12)</f>
        <v>750</v>
      </c>
      <c r="C8" s="6" t="n">
        <f aca="false">SUMPRODUCT(('حساب الأحمال'!$B$5:$B$12=A8)*'حساب الأحمال'!$Y$5:$Y$12*'حساب الأحمال'!$AA$5:$AA$12)</f>
        <v>50</v>
      </c>
      <c r="D8" s="6" t="n">
        <f aca="false">SUMPRODUCT(('حساب الأحمال'!$B$5:$B$12=A8)*'حساب الأحمال'!$AD$5:$AD$12*'حساب الأحمال'!$AA$5:$AA$12)</f>
        <v>52</v>
      </c>
      <c r="E8" s="5" t="n">
        <f aca="false">SUMPRODUCT(('حساب الأحمال'!$B$5:$B$12=A8)*'حساب الأحمال'!$AC$5:$AC$12*'حساب الأحمال'!$AA$5:$AA$12)</f>
        <v>13</v>
      </c>
      <c r="F8" s="7" t="n">
        <f aca="false">IF(C8&gt;0,B8/C8,0)</f>
        <v>15</v>
      </c>
    </row>
    <row r="9" customFormat="false" ht="15" hidden="false" customHeight="false" outlineLevel="0" collapsed="false">
      <c r="A9" s="4" t="s">
        <v>12</v>
      </c>
      <c r="B9" s="5" t="n">
        <f aca="false">SUMPRODUCT(('حساب الأحمال'!$B$5:$B$12=A9)*'حساب الأحمال'!$D$5:$D$12*'حساب الأحمال'!$AA$5:$AA$12)</f>
        <v>750</v>
      </c>
      <c r="C9" s="6" t="n">
        <f aca="false">SUMPRODUCT(('حساب الأحمال'!$B$5:$B$12=A9)*'حساب الأحمال'!$Y$5:$Y$12*'حساب الأحمال'!$AA$5:$AA$12)</f>
        <v>50</v>
      </c>
      <c r="D9" s="6" t="n">
        <f aca="false">SUMPRODUCT(('حساب الأحمال'!$B$5:$B$12=A9)*'حساب الأحمال'!$AD$5:$AD$12*'حساب الأحمال'!$AA$5:$AA$12)</f>
        <v>52</v>
      </c>
      <c r="E9" s="5" t="n">
        <f aca="false">SUMPRODUCT(('حساب الأحمال'!$B$5:$B$12=A9)*'حساب الأحمال'!$AC$5:$AC$12*'حساب الأحمال'!$AA$5:$AA$12)</f>
        <v>13</v>
      </c>
      <c r="F9" s="7" t="n">
        <f aca="false">IF(C9&gt;0,B9/C9,0)</f>
        <v>15</v>
      </c>
    </row>
    <row r="10" customFormat="false" ht="15" hidden="false" customHeight="false" outlineLevel="0" collapsed="false">
      <c r="A10" s="4" t="s">
        <v>13</v>
      </c>
      <c r="B10" s="5" t="n">
        <f aca="false">SUMPRODUCT(('حساب الأحمال'!$B$5:$B$12=A10)*'حساب الأحمال'!$D$5:$D$12*'حساب الأحمال'!$AA$5:$AA$12)</f>
        <v>78.5398163397448</v>
      </c>
      <c r="C10" s="6" t="n">
        <f aca="false">SUMPRODUCT(('حساب الأحمال'!$B$5:$B$12=A10)*'حساب الأحمال'!$Y$5:$Y$12*'حساب الأحمال'!$AA$5:$AA$12)</f>
        <v>5.23598775598299</v>
      </c>
      <c r="D10" s="6" t="n">
        <f aca="false">SUMPRODUCT(('حساب الأحمال'!$B$5:$B$12=A10)*'حساب الأحمال'!$AD$5:$AD$12*'حساب الأحمال'!$AA$5:$AA$12)</f>
        <v>6</v>
      </c>
      <c r="E10" s="5" t="n">
        <f aca="false">SUMPRODUCT(('حساب الأحمال'!$B$5:$B$12=A10)*'حساب الأحمال'!$AC$5:$AC$12*'حساب الأحمال'!$AA$5:$AA$12)</f>
        <v>1</v>
      </c>
      <c r="F10" s="7" t="n">
        <f aca="false">IF(C10&gt;0,B10/C10,0)</f>
        <v>15</v>
      </c>
    </row>
    <row r="11" customFormat="false" ht="15" hidden="false" customHeight="false" outlineLevel="0" collapsed="false">
      <c r="A11" s="8" t="s">
        <v>14</v>
      </c>
      <c r="B11" s="9" t="n">
        <f aca="false">SUM(B5:B10)</f>
        <v>3828.53981633975</v>
      </c>
      <c r="C11" s="10" t="n">
        <f aca="false">SUM(C5:C10)</f>
        <v>255.235987755983</v>
      </c>
      <c r="D11" s="10" t="n">
        <f aca="false">SUM(D5:D10)</f>
        <v>266</v>
      </c>
      <c r="E11" s="9" t="n">
        <f aca="false">SUM(E5:E10)</f>
        <v>66</v>
      </c>
      <c r="F11" s="11" t="n">
        <f aca="false">IF(C11&gt;0,B11/C11,0)</f>
        <v>15</v>
      </c>
    </row>
    <row r="13" customFormat="false" ht="15" hidden="false" customHeight="false" outlineLevel="0" collapsed="false">
      <c r="A13" s="12" t="s">
        <v>15</v>
      </c>
      <c r="B13" s="5" t="n">
        <f aca="false">'مقايسة الكوريدور'!G25</f>
        <v>23485000</v>
      </c>
    </row>
    <row r="14" customFormat="false" ht="26.85" hidden="false" customHeight="false" outlineLevel="0" collapsed="false">
      <c r="A14" s="13" t="s">
        <v>16</v>
      </c>
    </row>
    <row r="18" customFormat="false" ht="15" hidden="false" customHeight="true" outlineLevel="0" collapsed="false">
      <c r="A18" s="14" t="s">
        <v>17</v>
      </c>
      <c r="B18" s="14"/>
      <c r="C18" s="14"/>
      <c r="D18" s="14"/>
      <c r="E18" s="14"/>
      <c r="F18" s="14"/>
    </row>
    <row r="19" customFormat="false" ht="45" hidden="false" customHeight="true" outlineLevel="0" collapsed="false">
      <c r="A19" s="15" t="s">
        <v>18</v>
      </c>
      <c r="B19" s="15"/>
      <c r="C19" s="15"/>
      <c r="D19" s="15"/>
      <c r="E19" s="15"/>
      <c r="F19" s="15"/>
    </row>
    <row r="20" customFormat="false" ht="45" hidden="false" customHeight="true" outlineLevel="0" collapsed="false">
      <c r="A20" s="15" t="s">
        <v>19</v>
      </c>
      <c r="B20" s="15"/>
      <c r="C20" s="15"/>
      <c r="D20" s="15"/>
      <c r="E20" s="15"/>
      <c r="F20" s="15"/>
    </row>
    <row r="21" customFormat="false" ht="45" hidden="false" customHeight="true" outlineLevel="0" collapsed="false">
      <c r="A21" s="15" t="s">
        <v>20</v>
      </c>
      <c r="B21" s="15"/>
      <c r="C21" s="15"/>
      <c r="D21" s="15"/>
      <c r="E21" s="15"/>
      <c r="F21" s="15"/>
    </row>
    <row r="22" customFormat="false" ht="45" hidden="false" customHeight="true" outlineLevel="0" collapsed="false">
      <c r="A22" s="15" t="s">
        <v>21</v>
      </c>
      <c r="B22" s="15"/>
      <c r="C22" s="15"/>
      <c r="D22" s="15"/>
      <c r="E22" s="15"/>
      <c r="F22" s="15"/>
    </row>
    <row r="23" customFormat="false" ht="45" hidden="false" customHeight="true" outlineLevel="0" collapsed="false">
      <c r="A23" s="15" t="s">
        <v>22</v>
      </c>
      <c r="B23" s="15"/>
      <c r="C23" s="15"/>
      <c r="D23" s="15"/>
      <c r="E23" s="15"/>
      <c r="F23" s="15"/>
    </row>
    <row r="24" customFormat="false" ht="45" hidden="false" customHeight="true" outlineLevel="0" collapsed="false">
      <c r="A24" s="15" t="s">
        <v>23</v>
      </c>
      <c r="B24" s="15"/>
      <c r="C24" s="15"/>
      <c r="D24" s="15"/>
      <c r="E24" s="15"/>
      <c r="F24" s="15"/>
    </row>
    <row r="25" customFormat="false" ht="45" hidden="false" customHeight="true" outlineLevel="0" collapsed="false">
      <c r="A25" s="15" t="s">
        <v>24</v>
      </c>
      <c r="B25" s="15"/>
      <c r="C25" s="15"/>
      <c r="D25" s="15"/>
      <c r="E25" s="15"/>
      <c r="F25" s="15"/>
    </row>
  </sheetData>
  <mergeCells count="8">
    <mergeCell ref="A18:F18"/>
    <mergeCell ref="A19:F19"/>
    <mergeCell ref="A20:F20"/>
    <mergeCell ref="A21:F21"/>
    <mergeCell ref="A22:F22"/>
    <mergeCell ref="A23:F23"/>
    <mergeCell ref="A24:F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2"/>
    <col collapsed="false" customWidth="true" hidden="false" outlineLevel="0" max="4" min="4" style="0" width="70"/>
  </cols>
  <sheetData>
    <row r="1" customFormat="false" ht="17.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3" customFormat="false" ht="15" hidden="false" customHeight="false" outlineLevel="0" collapsed="false">
      <c r="A3" s="3" t="s">
        <v>27</v>
      </c>
      <c r="B3" s="3" t="s">
        <v>28</v>
      </c>
      <c r="C3" s="3" t="s">
        <v>29</v>
      </c>
      <c r="D3" s="3" t="s">
        <v>30</v>
      </c>
    </row>
    <row r="4" customFormat="false" ht="15" hidden="false" customHeight="false" outlineLevel="0" collapsed="false">
      <c r="A4" s="4" t="s">
        <v>31</v>
      </c>
      <c r="B4" s="16" t="n">
        <v>43</v>
      </c>
      <c r="C4" s="4" t="s">
        <v>32</v>
      </c>
      <c r="D4" s="4" t="s">
        <v>33</v>
      </c>
    </row>
    <row r="5" customFormat="false" ht="15" hidden="false" customHeight="false" outlineLevel="0" collapsed="false">
      <c r="A5" s="4" t="s">
        <v>34</v>
      </c>
      <c r="B5" s="16" t="n">
        <v>24</v>
      </c>
      <c r="C5" s="4" t="s">
        <v>32</v>
      </c>
      <c r="D5" s="4" t="s">
        <v>35</v>
      </c>
    </row>
    <row r="6" customFormat="false" ht="15" hidden="false" customHeight="false" outlineLevel="0" collapsed="false">
      <c r="A6" s="4" t="s">
        <v>36</v>
      </c>
      <c r="B6" s="17" t="n">
        <v>0.002</v>
      </c>
      <c r="C6" s="4" t="s">
        <v>37</v>
      </c>
      <c r="D6" s="4" t="s">
        <v>38</v>
      </c>
    </row>
    <row r="7" customFormat="false" ht="15" hidden="false" customHeight="false" outlineLevel="0" collapsed="false">
      <c r="A7" s="4" t="s">
        <v>39</v>
      </c>
      <c r="B7" s="18" t="n">
        <v>0.3</v>
      </c>
      <c r="C7" s="4" t="s">
        <v>40</v>
      </c>
      <c r="D7" s="4" t="s">
        <v>41</v>
      </c>
    </row>
    <row r="8" customFormat="false" ht="15" hidden="false" customHeight="false" outlineLevel="0" collapsed="false">
      <c r="A8" s="4" t="s">
        <v>42</v>
      </c>
      <c r="B8" s="16" t="n">
        <v>75</v>
      </c>
      <c r="C8" s="4" t="s">
        <v>43</v>
      </c>
      <c r="D8" s="4" t="s">
        <v>44</v>
      </c>
    </row>
    <row r="9" customFormat="false" ht="15" hidden="false" customHeight="false" outlineLevel="0" collapsed="false">
      <c r="A9" s="4" t="s">
        <v>45</v>
      </c>
      <c r="B9" s="16" t="n">
        <v>55</v>
      </c>
      <c r="C9" s="4" t="s">
        <v>43</v>
      </c>
      <c r="D9" s="4" t="s">
        <v>46</v>
      </c>
    </row>
    <row r="10" customFormat="false" ht="15" hidden="false" customHeight="false" outlineLevel="0" collapsed="false">
      <c r="A10" s="4" t="s">
        <v>47</v>
      </c>
      <c r="B10" s="16" t="n">
        <v>15</v>
      </c>
      <c r="C10" s="4" t="s">
        <v>48</v>
      </c>
      <c r="D10" s="4" t="s">
        <v>49</v>
      </c>
    </row>
    <row r="11" customFormat="false" ht="15" hidden="false" customHeight="false" outlineLevel="0" collapsed="false">
      <c r="A11" s="4" t="s">
        <v>50</v>
      </c>
      <c r="B11" s="16" t="n">
        <v>5</v>
      </c>
      <c r="C11" s="4" t="s">
        <v>48</v>
      </c>
      <c r="D11" s="4" t="s">
        <v>51</v>
      </c>
    </row>
    <row r="12" customFormat="false" ht="15" hidden="false" customHeight="false" outlineLevel="0" collapsed="false">
      <c r="A12" s="4" t="s">
        <v>52</v>
      </c>
      <c r="B12" s="16" t="n">
        <v>3.8</v>
      </c>
      <c r="C12" s="4" t="s">
        <v>53</v>
      </c>
      <c r="D12" s="4" t="s">
        <v>54</v>
      </c>
    </row>
    <row r="13" customFormat="false" ht="15" hidden="false" customHeight="false" outlineLevel="0" collapsed="false">
      <c r="A13" s="4" t="s">
        <v>55</v>
      </c>
      <c r="B13" s="18" t="n">
        <v>0.3</v>
      </c>
      <c r="C13" s="4" t="s">
        <v>56</v>
      </c>
      <c r="D13" s="4" t="s">
        <v>54</v>
      </c>
    </row>
    <row r="14" customFormat="false" ht="15" hidden="false" customHeight="false" outlineLevel="0" collapsed="false">
      <c r="A14" s="4" t="s">
        <v>57</v>
      </c>
      <c r="B14" s="16" t="n">
        <v>1</v>
      </c>
      <c r="C14" s="4" t="s">
        <v>58</v>
      </c>
      <c r="D14" s="4" t="s">
        <v>59</v>
      </c>
    </row>
    <row r="15" customFormat="false" ht="15" hidden="false" customHeight="false" outlineLevel="0" collapsed="false">
      <c r="A15" s="4" t="s">
        <v>60</v>
      </c>
      <c r="B15" s="16" t="n">
        <v>2.8</v>
      </c>
      <c r="C15" s="4" t="s">
        <v>61</v>
      </c>
      <c r="D15" s="4" t="s">
        <v>62</v>
      </c>
    </row>
    <row r="16" customFormat="false" ht="15" hidden="false" customHeight="false" outlineLevel="0" collapsed="false">
      <c r="A16" s="4" t="s">
        <v>63</v>
      </c>
      <c r="B16" s="16" t="n">
        <v>70</v>
      </c>
      <c r="C16" s="4" t="s">
        <v>48</v>
      </c>
      <c r="D16" s="4" t="s">
        <v>64</v>
      </c>
    </row>
    <row r="17" customFormat="false" ht="15" hidden="false" customHeight="false" outlineLevel="0" collapsed="false">
      <c r="A17" s="4" t="s">
        <v>65</v>
      </c>
      <c r="B17" s="16" t="n">
        <v>3</v>
      </c>
      <c r="C17" s="4" t="s">
        <v>66</v>
      </c>
      <c r="D17" s="4" t="s">
        <v>67</v>
      </c>
    </row>
    <row r="18" customFormat="false" ht="15" hidden="false" customHeight="false" outlineLevel="0" collapsed="false">
      <c r="A18" s="4" t="s">
        <v>68</v>
      </c>
      <c r="B18" s="16" t="n">
        <v>3</v>
      </c>
      <c r="C18" s="4" t="s">
        <v>61</v>
      </c>
      <c r="D18" s="4" t="s">
        <v>51</v>
      </c>
    </row>
    <row r="19" customFormat="false" ht="15" hidden="false" customHeight="false" outlineLevel="0" collapsed="false">
      <c r="A19" s="4" t="s">
        <v>69</v>
      </c>
      <c r="B19" s="16" t="n">
        <v>200</v>
      </c>
      <c r="C19" s="4" t="s">
        <v>48</v>
      </c>
      <c r="D19" s="4" t="s">
        <v>70</v>
      </c>
    </row>
    <row r="20" customFormat="false" ht="15" hidden="false" customHeight="false" outlineLevel="0" collapsed="false">
      <c r="A20" s="4" t="s">
        <v>71</v>
      </c>
      <c r="B20" s="18" t="n">
        <v>0.7</v>
      </c>
      <c r="C20" s="4" t="s">
        <v>58</v>
      </c>
      <c r="D20" s="4" t="s">
        <v>72</v>
      </c>
    </row>
    <row r="21" customFormat="false" ht="15" hidden="false" customHeight="false" outlineLevel="0" collapsed="false">
      <c r="A21" s="4" t="s">
        <v>73</v>
      </c>
      <c r="B21" s="18" t="n">
        <v>0.45</v>
      </c>
      <c r="C21" s="4" t="s">
        <v>61</v>
      </c>
      <c r="D21" s="4" t="s">
        <v>51</v>
      </c>
    </row>
    <row r="22" customFormat="false" ht="15" hidden="false" customHeight="false" outlineLevel="0" collapsed="false">
      <c r="A22" s="4" t="s">
        <v>74</v>
      </c>
      <c r="B22" s="16" t="n">
        <v>28</v>
      </c>
      <c r="C22" s="4" t="s">
        <v>75</v>
      </c>
      <c r="D22" s="4" t="s">
        <v>76</v>
      </c>
    </row>
    <row r="23" customFormat="false" ht="15" hidden="false" customHeight="false" outlineLevel="0" collapsed="false">
      <c r="A23" s="4" t="s">
        <v>77</v>
      </c>
      <c r="B23" s="16" t="n">
        <v>3.5</v>
      </c>
      <c r="C23" s="4" t="s">
        <v>66</v>
      </c>
      <c r="D23" s="4" t="s">
        <v>78</v>
      </c>
    </row>
    <row r="24" customFormat="false" ht="15" hidden="false" customHeight="false" outlineLevel="0" collapsed="false">
      <c r="A24" s="4" t="s">
        <v>79</v>
      </c>
      <c r="B24" s="18" t="n">
        <v>0.1</v>
      </c>
      <c r="C24" s="4" t="s">
        <v>58</v>
      </c>
      <c r="D24" s="4" t="s">
        <v>80</v>
      </c>
    </row>
    <row r="25" customFormat="false" ht="15" hidden="false" customHeight="false" outlineLevel="0" collapsed="false">
      <c r="A25" s="4" t="s">
        <v>81</v>
      </c>
      <c r="B25" s="16" t="n">
        <v>1</v>
      </c>
      <c r="C25" s="4" t="s">
        <v>58</v>
      </c>
      <c r="D25" s="4" t="s">
        <v>82</v>
      </c>
    </row>
    <row r="26" customFormat="false" ht="15" hidden="false" customHeight="false" outlineLevel="0" collapsed="false">
      <c r="A26" s="4" t="s">
        <v>83</v>
      </c>
      <c r="B26" s="16" t="n">
        <v>15</v>
      </c>
      <c r="C26" s="4" t="s">
        <v>84</v>
      </c>
      <c r="D26" s="4" t="s">
        <v>85</v>
      </c>
    </row>
    <row r="27" customFormat="false" ht="15" hidden="false" customHeight="false" outlineLevel="0" collapsed="false">
      <c r="A27" s="4" t="s">
        <v>86</v>
      </c>
      <c r="B27" s="16" t="n">
        <v>3517</v>
      </c>
      <c r="C27" s="4" t="s">
        <v>87</v>
      </c>
      <c r="D27" s="4" t="s">
        <v>88</v>
      </c>
    </row>
    <row r="28" customFormat="false" ht="15" hidden="false" customHeight="false" outlineLevel="0" collapsed="false">
      <c r="A28" s="4" t="s">
        <v>89</v>
      </c>
      <c r="B28" s="16" t="n">
        <v>1.2</v>
      </c>
      <c r="C28" s="4" t="s">
        <v>90</v>
      </c>
      <c r="D28" s="4" t="s">
        <v>88</v>
      </c>
    </row>
    <row r="29" customFormat="false" ht="15" hidden="false" customHeight="false" outlineLevel="0" collapsed="false">
      <c r="A29" s="4" t="s">
        <v>91</v>
      </c>
      <c r="B29" s="16" t="n">
        <v>1.005</v>
      </c>
      <c r="C29" s="4" t="s">
        <v>92</v>
      </c>
      <c r="D29" s="4" t="s">
        <v>88</v>
      </c>
    </row>
    <row r="30" customFormat="false" ht="15" hidden="false" customHeight="false" outlineLevel="0" collapsed="false">
      <c r="A30" s="4" t="s">
        <v>93</v>
      </c>
      <c r="B30" s="16" t="n">
        <v>2500</v>
      </c>
      <c r="C30" s="4" t="s">
        <v>94</v>
      </c>
      <c r="D30" s="4" t="s">
        <v>88</v>
      </c>
    </row>
    <row r="31" customFormat="false" ht="15" hidden="false" customHeight="false" outlineLevel="0" collapsed="false">
      <c r="A31" s="4" t="s">
        <v>95</v>
      </c>
      <c r="B31" s="16" t="n">
        <v>400</v>
      </c>
      <c r="C31" s="4" t="s">
        <v>96</v>
      </c>
      <c r="D31" s="4" t="s">
        <v>97</v>
      </c>
    </row>
    <row r="32" customFormat="false" ht="15" hidden="false" customHeight="false" outlineLevel="0" collapsed="false">
      <c r="A32" s="4" t="s">
        <v>98</v>
      </c>
      <c r="B32" s="16" t="n">
        <v>160</v>
      </c>
      <c r="C32" s="4" t="s">
        <v>99</v>
      </c>
      <c r="D32" s="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30" min="4" style="0" width="12"/>
    <col collapsed="false" customWidth="true" hidden="false" outlineLevel="0" max="31" min="31" style="0" width="70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48" hidden="false" customHeight="true" outlineLevel="0" collapsed="false">
      <c r="A4" s="3" t="s">
        <v>66</v>
      </c>
      <c r="B4" s="3" t="s">
        <v>2</v>
      </c>
      <c r="C4" s="3" t="s">
        <v>103</v>
      </c>
      <c r="D4" s="3" t="s">
        <v>3</v>
      </c>
      <c r="E4" s="3" t="s">
        <v>104</v>
      </c>
      <c r="F4" s="3" t="s">
        <v>105</v>
      </c>
      <c r="G4" s="3" t="s">
        <v>106</v>
      </c>
      <c r="H4" s="3" t="s">
        <v>107</v>
      </c>
      <c r="I4" s="3" t="s">
        <v>108</v>
      </c>
      <c r="J4" s="3" t="s">
        <v>109</v>
      </c>
      <c r="K4" s="3" t="s">
        <v>110</v>
      </c>
      <c r="L4" s="3" t="s">
        <v>111</v>
      </c>
      <c r="M4" s="3" t="s">
        <v>112</v>
      </c>
      <c r="N4" s="3" t="s">
        <v>113</v>
      </c>
      <c r="O4" s="3" t="s">
        <v>114</v>
      </c>
      <c r="P4" s="3" t="s">
        <v>115</v>
      </c>
      <c r="Q4" s="3" t="s">
        <v>116</v>
      </c>
      <c r="R4" s="3" t="s">
        <v>117</v>
      </c>
      <c r="S4" s="3" t="s">
        <v>118</v>
      </c>
      <c r="T4" s="3" t="s">
        <v>119</v>
      </c>
      <c r="U4" s="3" t="s">
        <v>120</v>
      </c>
      <c r="V4" s="3" t="s">
        <v>121</v>
      </c>
      <c r="W4" s="3" t="s">
        <v>122</v>
      </c>
      <c r="X4" s="3" t="s">
        <v>123</v>
      </c>
      <c r="Y4" s="3" t="s">
        <v>124</v>
      </c>
      <c r="Z4" s="3" t="s">
        <v>7</v>
      </c>
      <c r="AA4" s="3" t="s">
        <v>125</v>
      </c>
      <c r="AB4" s="3" t="s">
        <v>126</v>
      </c>
      <c r="AC4" s="3" t="s">
        <v>127</v>
      </c>
      <c r="AD4" s="3" t="s">
        <v>5</v>
      </c>
      <c r="AE4" s="3" t="s">
        <v>128</v>
      </c>
    </row>
    <row r="5" customFormat="false" ht="15" hidden="false" customHeight="false" outlineLevel="0" collapsed="false">
      <c r="A5" s="19" t="n">
        <v>1</v>
      </c>
      <c r="B5" s="4" t="s">
        <v>8</v>
      </c>
      <c r="C5" s="4" t="s">
        <v>129</v>
      </c>
      <c r="D5" s="20" t="n">
        <f aca="false">250*3</f>
        <v>750</v>
      </c>
      <c r="E5" s="20" t="n">
        <v>0</v>
      </c>
      <c r="F5" s="21" t="n">
        <f aca="false">E5*الافتراضات!$B$17</f>
        <v>0</v>
      </c>
      <c r="G5" s="20" t="n">
        <v>0</v>
      </c>
      <c r="H5" s="20" t="n">
        <v>0</v>
      </c>
      <c r="I5" s="22" t="n">
        <v>0.3</v>
      </c>
      <c r="J5" s="21" t="n">
        <f aca="false">D5*الافتراضات!$B$7</f>
        <v>225</v>
      </c>
      <c r="K5" s="21" t="n">
        <f aca="false">J5*الافتراضات!$B$8</f>
        <v>16875</v>
      </c>
      <c r="L5" s="21" t="n">
        <f aca="false">J5*الافتراضات!$B$9</f>
        <v>12375</v>
      </c>
      <c r="M5" s="21" t="n">
        <f aca="false">D5*الافتراضات!$B$10</f>
        <v>11250</v>
      </c>
      <c r="N5" s="21" t="n">
        <f aca="false">D5*الافتراضات!$B$11</f>
        <v>3750</v>
      </c>
      <c r="O5" s="21" t="n">
        <f aca="false">F5*(الافتراضات!$B$15*(الافتراضات!$B$4-الافتراضات!$B$5)+الافتراضات!$B$16)</f>
        <v>0</v>
      </c>
      <c r="P5" s="21" t="n">
        <f aca="false">G5*(الافتراضات!$B$18*(الافتراضات!$B$4-الافتراضات!$B$5)+الافتراضات!$B$19)*الافتراضات!$B$20</f>
        <v>0</v>
      </c>
      <c r="Q5" s="21" t="n">
        <f aca="false">H5*الافتراضات!$B$21*الافتراضات!$B$22</f>
        <v>0</v>
      </c>
      <c r="R5" s="21" t="n">
        <f aca="false">D5*الافتراضات!$B$23*I5/3600*الافتراضات!$B$28*الافتراضات!$B$29*1000*(الافتراضات!$B$4-الافتراضات!$B$5)</f>
        <v>5012.4375</v>
      </c>
      <c r="S5" s="21" t="n">
        <f aca="false">D5*الافتراضات!$B$23*I5/3600*الافتراضات!$B$28*الافتراضات!$B$30*1000*الافتراضات!$B$6</f>
        <v>1312.5</v>
      </c>
      <c r="T5" s="21" t="n">
        <f aca="false">J5*الافتراضات!$B$12+D5*الافتراضات!$B$13</f>
        <v>1080</v>
      </c>
      <c r="U5" s="21" t="n">
        <f aca="false">T5/1000*الافتراضات!$B$28*الافتراضات!$B$29*1000*(الافتراضات!$B$4-الافتراضات!$B$5)</f>
        <v>24747.12</v>
      </c>
      <c r="V5" s="21" t="n">
        <f aca="false">T5/1000*الافتراضات!$B$28*الافتراضات!$B$30*1000*الافتراضات!$B$6</f>
        <v>6480</v>
      </c>
      <c r="W5" s="23" t="n">
        <f aca="false">SUM(K5:S5)/1000</f>
        <v>50.5749375</v>
      </c>
      <c r="X5" s="23" t="n">
        <f aca="false">W5+الافتراضات!$B$14*(U5+V5)/1000</f>
        <v>81.8020575</v>
      </c>
      <c r="Y5" s="24" t="n">
        <f aca="false">IF(الافتراضات!$B$25=1,D5/الافتراضات!$B$26,X5*1000*(1+الافتراضات!$B$24)/الافتراضات!$B$27)</f>
        <v>50</v>
      </c>
      <c r="Z5" s="7" t="n">
        <f aca="false">IF(Y5&gt;0,D5/Y5,0)</f>
        <v>15</v>
      </c>
      <c r="AA5" s="25" t="n">
        <v>1</v>
      </c>
      <c r="AB5" s="26" t="n">
        <v>4</v>
      </c>
      <c r="AC5" s="27" t="n">
        <f aca="false">IF(AB5&gt;0,ROUNDUP(Y5/AB5,0),0)</f>
        <v>13</v>
      </c>
      <c r="AD5" s="23" t="n">
        <f aca="false">AC5*AB5</f>
        <v>52</v>
      </c>
      <c r="AE5" s="4" t="s">
        <v>130</v>
      </c>
    </row>
    <row r="6" customFormat="false" ht="15" hidden="false" customHeight="false" outlineLevel="0" collapsed="false">
      <c r="A6" s="19" t="n">
        <v>2</v>
      </c>
      <c r="B6" s="4" t="s">
        <v>9</v>
      </c>
      <c r="C6" s="4" t="s">
        <v>129</v>
      </c>
      <c r="D6" s="20" t="n">
        <f aca="false">250*3</f>
        <v>750</v>
      </c>
      <c r="E6" s="20" t="n">
        <v>75</v>
      </c>
      <c r="F6" s="21" t="n">
        <f aca="false">E6*الافتراضات!$B$17</f>
        <v>225</v>
      </c>
      <c r="G6" s="20" t="n">
        <v>0</v>
      </c>
      <c r="H6" s="20" t="n">
        <v>0</v>
      </c>
      <c r="I6" s="22" t="n">
        <v>1</v>
      </c>
      <c r="J6" s="21" t="n">
        <f aca="false">D6*الافتراضات!$B$7</f>
        <v>225</v>
      </c>
      <c r="K6" s="21" t="n">
        <f aca="false">J6*الافتراضات!$B$8</f>
        <v>16875</v>
      </c>
      <c r="L6" s="21" t="n">
        <f aca="false">J6*الافتراضات!$B$9</f>
        <v>12375</v>
      </c>
      <c r="M6" s="21" t="n">
        <f aca="false">D6*الافتراضات!$B$10</f>
        <v>11250</v>
      </c>
      <c r="N6" s="21" t="n">
        <f aca="false">D6*الافتراضات!$B$11</f>
        <v>3750</v>
      </c>
      <c r="O6" s="21" t="n">
        <f aca="false">F6*(الافتراضات!$B$15*(الافتراضات!$B$4-الافتراضات!$B$5)+الافتراضات!$B$16)</f>
        <v>27720</v>
      </c>
      <c r="P6" s="21" t="n">
        <f aca="false">G6*(الافتراضات!$B$18*(الافتراضات!$B$4-الافتراضات!$B$5)+الافتراضات!$B$19)*الافتراضات!$B$20</f>
        <v>0</v>
      </c>
      <c r="Q6" s="21" t="n">
        <f aca="false">H6*الافتراضات!$B$21*الافتراضات!$B$22</f>
        <v>0</v>
      </c>
      <c r="R6" s="21" t="n">
        <f aca="false">D6*الافتراضات!$B$23*I6/3600*الافتراضات!$B$28*الافتراضات!$B$29*1000*(الافتراضات!$B$4-الافتراضات!$B$5)</f>
        <v>16708.125</v>
      </c>
      <c r="S6" s="21" t="n">
        <f aca="false">D6*الافتراضات!$B$23*I6/3600*الافتراضات!$B$28*الافتراضات!$B$30*1000*الافتراضات!$B$6</f>
        <v>4375</v>
      </c>
      <c r="T6" s="21" t="n">
        <f aca="false">J6*الافتراضات!$B$12+D6*الافتراضات!$B$13</f>
        <v>1080</v>
      </c>
      <c r="U6" s="21" t="n">
        <f aca="false">T6/1000*الافتراضات!$B$28*الافتراضات!$B$29*1000*(الافتراضات!$B$4-الافتراضات!$B$5)</f>
        <v>24747.12</v>
      </c>
      <c r="V6" s="21" t="n">
        <f aca="false">T6/1000*الافتراضات!$B$28*الافتراضات!$B$30*1000*الافتراضات!$B$6</f>
        <v>6480</v>
      </c>
      <c r="W6" s="23" t="n">
        <f aca="false">SUM(K6:S6)/1000</f>
        <v>93.053125</v>
      </c>
      <c r="X6" s="23" t="n">
        <f aca="false">W6+الافتراضات!$B$14*(U6+V6)/1000</f>
        <v>124.280245</v>
      </c>
      <c r="Y6" s="24" t="n">
        <f aca="false">IF(الافتراضات!$B$25=1,D6/الافتراضات!$B$26,X6*1000*(1+الافتراضات!$B$24)/الافتراضات!$B$27)</f>
        <v>50</v>
      </c>
      <c r="Z6" s="7" t="n">
        <f aca="false">IF(Y6&gt;0,D6/Y6,0)</f>
        <v>15</v>
      </c>
      <c r="AA6" s="25" t="n">
        <v>1</v>
      </c>
      <c r="AB6" s="26" t="n">
        <v>4</v>
      </c>
      <c r="AC6" s="27" t="n">
        <f aca="false">IF(AB6&gt;0,ROUNDUP(Y6/AB6,0),0)</f>
        <v>13</v>
      </c>
      <c r="AD6" s="23" t="n">
        <f aca="false">AC6*AB6</f>
        <v>52</v>
      </c>
      <c r="AE6" s="4" t="s">
        <v>131</v>
      </c>
    </row>
    <row r="7" customFormat="false" ht="15" hidden="false" customHeight="false" outlineLevel="0" collapsed="false">
      <c r="A7" s="19" t="n">
        <v>3</v>
      </c>
      <c r="B7" s="4" t="s">
        <v>10</v>
      </c>
      <c r="C7" s="4" t="s">
        <v>129</v>
      </c>
      <c r="D7" s="20" t="n">
        <f aca="false">250*3</f>
        <v>750</v>
      </c>
      <c r="E7" s="20" t="n">
        <v>70</v>
      </c>
      <c r="F7" s="21" t="n">
        <f aca="false">E7*الافتراضات!$B$17</f>
        <v>210</v>
      </c>
      <c r="G7" s="20" t="n">
        <v>0</v>
      </c>
      <c r="H7" s="20" t="n">
        <v>0</v>
      </c>
      <c r="I7" s="22" t="n">
        <v>0.3</v>
      </c>
      <c r="J7" s="21" t="n">
        <f aca="false">D7*الافتراضات!$B$7</f>
        <v>225</v>
      </c>
      <c r="K7" s="21" t="n">
        <f aca="false">J7*الافتراضات!$B$8</f>
        <v>16875</v>
      </c>
      <c r="L7" s="21" t="n">
        <f aca="false">J7*الافتراضات!$B$9</f>
        <v>12375</v>
      </c>
      <c r="M7" s="21" t="n">
        <f aca="false">D7*الافتراضات!$B$10</f>
        <v>11250</v>
      </c>
      <c r="N7" s="21" t="n">
        <f aca="false">D7*الافتراضات!$B$11</f>
        <v>3750</v>
      </c>
      <c r="O7" s="21" t="n">
        <f aca="false">F7*(الافتراضات!$B$15*(الافتراضات!$B$4-الافتراضات!$B$5)+الافتراضات!$B$16)</f>
        <v>25872</v>
      </c>
      <c r="P7" s="21" t="n">
        <f aca="false">G7*(الافتراضات!$B$18*(الافتراضات!$B$4-الافتراضات!$B$5)+الافتراضات!$B$19)*الافتراضات!$B$20</f>
        <v>0</v>
      </c>
      <c r="Q7" s="21" t="n">
        <f aca="false">H7*الافتراضات!$B$21*الافتراضات!$B$22</f>
        <v>0</v>
      </c>
      <c r="R7" s="21" t="n">
        <f aca="false">D7*الافتراضات!$B$23*I7/3600*الافتراضات!$B$28*الافتراضات!$B$29*1000*(الافتراضات!$B$4-الافتراضات!$B$5)</f>
        <v>5012.4375</v>
      </c>
      <c r="S7" s="21" t="n">
        <f aca="false">D7*الافتراضات!$B$23*I7/3600*الافتراضات!$B$28*الافتراضات!$B$30*1000*الافتراضات!$B$6</f>
        <v>1312.5</v>
      </c>
      <c r="T7" s="21" t="n">
        <f aca="false">J7*الافتراضات!$B$12+D7*الافتراضات!$B$13</f>
        <v>1080</v>
      </c>
      <c r="U7" s="21" t="n">
        <f aca="false">T7/1000*الافتراضات!$B$28*الافتراضات!$B$29*1000*(الافتراضات!$B$4-الافتراضات!$B$5)</f>
        <v>24747.12</v>
      </c>
      <c r="V7" s="21" t="n">
        <f aca="false">T7/1000*الافتراضات!$B$28*الافتراضات!$B$30*1000*الافتراضات!$B$6</f>
        <v>6480</v>
      </c>
      <c r="W7" s="23" t="n">
        <f aca="false">SUM(K7:S7)/1000</f>
        <v>76.4469375</v>
      </c>
      <c r="X7" s="23" t="n">
        <f aca="false">W7+الافتراضات!$B$14*(U7+V7)/1000</f>
        <v>107.6740575</v>
      </c>
      <c r="Y7" s="24" t="n">
        <f aca="false">IF(الافتراضات!$B$25=1,D7/الافتراضات!$B$26,X7*1000*(1+الافتراضات!$B$24)/الافتراضات!$B$27)</f>
        <v>50</v>
      </c>
      <c r="Z7" s="7" t="n">
        <f aca="false">IF(Y7&gt;0,D7/Y7,0)</f>
        <v>15</v>
      </c>
      <c r="AA7" s="25" t="n">
        <v>1</v>
      </c>
      <c r="AB7" s="26" t="n">
        <v>4</v>
      </c>
      <c r="AC7" s="27" t="n">
        <f aca="false">IF(AB7&gt;0,ROUNDUP(Y7/AB7,0),0)</f>
        <v>13</v>
      </c>
      <c r="AD7" s="23" t="n">
        <f aca="false">AC7*AB7</f>
        <v>52</v>
      </c>
      <c r="AE7" s="4" t="s">
        <v>132</v>
      </c>
    </row>
    <row r="8" customFormat="false" ht="15" hidden="false" customHeight="false" outlineLevel="0" collapsed="false">
      <c r="A8" s="19" t="n">
        <v>4</v>
      </c>
      <c r="B8" s="4" t="s">
        <v>11</v>
      </c>
      <c r="C8" s="4" t="s">
        <v>129</v>
      </c>
      <c r="D8" s="20" t="n">
        <f aca="false">250*3</f>
        <v>750</v>
      </c>
      <c r="E8" s="20" t="n">
        <v>65</v>
      </c>
      <c r="F8" s="21" t="n">
        <f aca="false">E8*الافتراضات!$B$17</f>
        <v>195</v>
      </c>
      <c r="G8" s="20" t="n">
        <v>0</v>
      </c>
      <c r="H8" s="20" t="n">
        <v>0</v>
      </c>
      <c r="I8" s="22" t="n">
        <v>0.3</v>
      </c>
      <c r="J8" s="21" t="n">
        <f aca="false">D8*الافتراضات!$B$7</f>
        <v>225</v>
      </c>
      <c r="K8" s="21" t="n">
        <f aca="false">J8*الافتراضات!$B$8</f>
        <v>16875</v>
      </c>
      <c r="L8" s="21" t="n">
        <f aca="false">J8*الافتراضات!$B$9</f>
        <v>12375</v>
      </c>
      <c r="M8" s="21" t="n">
        <f aca="false">D8*الافتراضات!$B$10</f>
        <v>11250</v>
      </c>
      <c r="N8" s="21" t="n">
        <f aca="false">D8*الافتراضات!$B$11</f>
        <v>3750</v>
      </c>
      <c r="O8" s="21" t="n">
        <f aca="false">F8*(الافتراضات!$B$15*(الافتراضات!$B$4-الافتراضات!$B$5)+الافتراضات!$B$16)</f>
        <v>24024</v>
      </c>
      <c r="P8" s="21" t="n">
        <f aca="false">G8*(الافتراضات!$B$18*(الافتراضات!$B$4-الافتراضات!$B$5)+الافتراضات!$B$19)*الافتراضات!$B$20</f>
        <v>0</v>
      </c>
      <c r="Q8" s="21" t="n">
        <f aca="false">H8*الافتراضات!$B$21*الافتراضات!$B$22</f>
        <v>0</v>
      </c>
      <c r="R8" s="21" t="n">
        <f aca="false">D8*الافتراضات!$B$23*I8/3600*الافتراضات!$B$28*الافتراضات!$B$29*1000*(الافتراضات!$B$4-الافتراضات!$B$5)</f>
        <v>5012.4375</v>
      </c>
      <c r="S8" s="21" t="n">
        <f aca="false">D8*الافتراضات!$B$23*I8/3600*الافتراضات!$B$28*الافتراضات!$B$30*1000*الافتراضات!$B$6</f>
        <v>1312.5</v>
      </c>
      <c r="T8" s="21" t="n">
        <f aca="false">J8*الافتراضات!$B$12+D8*الافتراضات!$B$13</f>
        <v>1080</v>
      </c>
      <c r="U8" s="21" t="n">
        <f aca="false">T8/1000*الافتراضات!$B$28*الافتراضات!$B$29*1000*(الافتراضات!$B$4-الافتراضات!$B$5)</f>
        <v>24747.12</v>
      </c>
      <c r="V8" s="21" t="n">
        <f aca="false">T8/1000*الافتراضات!$B$28*الافتراضات!$B$30*1000*الافتراضات!$B$6</f>
        <v>6480</v>
      </c>
      <c r="W8" s="23" t="n">
        <f aca="false">SUM(K8:S8)/1000</f>
        <v>74.5989375</v>
      </c>
      <c r="X8" s="23" t="n">
        <f aca="false">W8+الافتراضات!$B$14*(U8+V8)/1000</f>
        <v>105.8260575</v>
      </c>
      <c r="Y8" s="24" t="n">
        <f aca="false">IF(الافتراضات!$B$25=1,D8/الافتراضات!$B$26,X8*1000*(1+الافتراضات!$B$24)/الافتراضات!$B$27)</f>
        <v>50</v>
      </c>
      <c r="Z8" s="7" t="n">
        <f aca="false">IF(Y8&gt;0,D8/Y8,0)</f>
        <v>15</v>
      </c>
      <c r="AA8" s="25" t="n">
        <v>1</v>
      </c>
      <c r="AB8" s="26" t="n">
        <v>4</v>
      </c>
      <c r="AC8" s="27" t="n">
        <f aca="false">IF(AB8&gt;0,ROUNDUP(Y8/AB8,0),0)</f>
        <v>13</v>
      </c>
      <c r="AD8" s="23" t="n">
        <f aca="false">AC8*AB8</f>
        <v>52</v>
      </c>
      <c r="AE8" s="4" t="s">
        <v>132</v>
      </c>
    </row>
    <row r="9" customFormat="false" ht="15" hidden="false" customHeight="false" outlineLevel="0" collapsed="false">
      <c r="A9" s="19" t="n">
        <v>5</v>
      </c>
      <c r="B9" s="4" t="s">
        <v>12</v>
      </c>
      <c r="C9" s="4" t="s">
        <v>129</v>
      </c>
      <c r="D9" s="20" t="n">
        <f aca="false">250*3</f>
        <v>750</v>
      </c>
      <c r="E9" s="20" t="n">
        <v>60</v>
      </c>
      <c r="F9" s="21" t="n">
        <f aca="false">E9*الافتراضات!$B$17</f>
        <v>180</v>
      </c>
      <c r="G9" s="20" t="n">
        <v>0</v>
      </c>
      <c r="H9" s="20" t="n">
        <f aca="false">250*3</f>
        <v>750</v>
      </c>
      <c r="I9" s="22" t="n">
        <v>0.3</v>
      </c>
      <c r="J9" s="21" t="n">
        <f aca="false">D9*الافتراضات!$B$7</f>
        <v>225</v>
      </c>
      <c r="K9" s="21" t="n">
        <f aca="false">J9*الافتراضات!$B$8</f>
        <v>16875</v>
      </c>
      <c r="L9" s="21" t="n">
        <f aca="false">J9*الافتراضات!$B$9</f>
        <v>12375</v>
      </c>
      <c r="M9" s="21" t="n">
        <f aca="false">D9*الافتراضات!$B$10</f>
        <v>11250</v>
      </c>
      <c r="N9" s="21" t="n">
        <f aca="false">D9*الافتراضات!$B$11</f>
        <v>3750</v>
      </c>
      <c r="O9" s="21" t="n">
        <f aca="false">F9*(الافتراضات!$B$15*(الافتراضات!$B$4-الافتراضات!$B$5)+الافتراضات!$B$16)</f>
        <v>22176</v>
      </c>
      <c r="P9" s="21" t="n">
        <f aca="false">G9*(الافتراضات!$B$18*(الافتراضات!$B$4-الافتراضات!$B$5)+الافتراضات!$B$19)*الافتراضات!$B$20</f>
        <v>0</v>
      </c>
      <c r="Q9" s="21" t="n">
        <f aca="false">H9*الافتراضات!$B$21*الافتراضات!$B$22</f>
        <v>9450</v>
      </c>
      <c r="R9" s="21" t="n">
        <f aca="false">D9*الافتراضات!$B$23*I9/3600*الافتراضات!$B$28*الافتراضات!$B$29*1000*(الافتراضات!$B$4-الافتراضات!$B$5)</f>
        <v>5012.4375</v>
      </c>
      <c r="S9" s="21" t="n">
        <f aca="false">D9*الافتراضات!$B$23*I9/3600*الافتراضات!$B$28*الافتراضات!$B$30*1000*الافتراضات!$B$6</f>
        <v>1312.5</v>
      </c>
      <c r="T9" s="21" t="n">
        <f aca="false">J9*الافتراضات!$B$12+D9*الافتراضات!$B$13</f>
        <v>1080</v>
      </c>
      <c r="U9" s="21" t="n">
        <f aca="false">T9/1000*الافتراضات!$B$28*الافتراضات!$B$29*1000*(الافتراضات!$B$4-الافتراضات!$B$5)</f>
        <v>24747.12</v>
      </c>
      <c r="V9" s="21" t="n">
        <f aca="false">T9/1000*الافتراضات!$B$28*الافتراضات!$B$30*1000*الافتراضات!$B$6</f>
        <v>6480</v>
      </c>
      <c r="W9" s="23" t="n">
        <f aca="false">SUM(K9:S9)/1000</f>
        <v>82.2009375</v>
      </c>
      <c r="X9" s="23" t="n">
        <f aca="false">W9+الافتراضات!$B$14*(U9+V9)/1000</f>
        <v>113.4280575</v>
      </c>
      <c r="Y9" s="24" t="n">
        <f aca="false">IF(الافتراضات!$B$25=1,D9/الافتراضات!$B$26,X9*1000*(1+الافتراضات!$B$24)/الافتراضات!$B$27)</f>
        <v>50</v>
      </c>
      <c r="Z9" s="7" t="n">
        <f aca="false">IF(Y9&gt;0,D9/Y9,0)</f>
        <v>15</v>
      </c>
      <c r="AA9" s="25" t="n">
        <v>1</v>
      </c>
      <c r="AB9" s="26" t="n">
        <v>4</v>
      </c>
      <c r="AC9" s="27" t="n">
        <f aca="false">IF(AB9&gt;0,ROUNDUP(Y9/AB9,0),0)</f>
        <v>13</v>
      </c>
      <c r="AD9" s="23" t="n">
        <f aca="false">AC9*AB9</f>
        <v>52</v>
      </c>
      <c r="AE9" s="4" t="s">
        <v>133</v>
      </c>
    </row>
    <row r="10" customFormat="false" ht="15" hidden="false" customHeight="false" outlineLevel="0" collapsed="false">
      <c r="A10" s="19" t="n">
        <v>6</v>
      </c>
      <c r="B10" s="4" t="s">
        <v>13</v>
      </c>
      <c r="C10" s="4" t="s">
        <v>134</v>
      </c>
      <c r="D10" s="20" t="n">
        <f aca="false">PI()*10^2/4</f>
        <v>78.5398163397448</v>
      </c>
      <c r="E10" s="20" t="n">
        <v>0</v>
      </c>
      <c r="F10" s="21" t="n">
        <f aca="false">E10*الافتراضات!$B$17</f>
        <v>0</v>
      </c>
      <c r="G10" s="20" t="n">
        <f aca="false">PI()*10^2/4</f>
        <v>78.5398163397448</v>
      </c>
      <c r="H10" s="20" t="n">
        <v>0</v>
      </c>
      <c r="I10" s="22" t="n">
        <v>0.3</v>
      </c>
      <c r="J10" s="21" t="n">
        <f aca="false">D10*الافتراضات!$B$7</f>
        <v>23.5619449019235</v>
      </c>
      <c r="K10" s="21" t="n">
        <f aca="false">J10*الافتراضات!$B$8</f>
        <v>1767.14586764426</v>
      </c>
      <c r="L10" s="21" t="n">
        <f aca="false">J10*الافتراضات!$B$9</f>
        <v>1295.90696960579</v>
      </c>
      <c r="M10" s="21" t="n">
        <f aca="false">D10*الافتراضات!$B$10</f>
        <v>1178.09724509617</v>
      </c>
      <c r="N10" s="21" t="n">
        <f aca="false">D10*الافتراضات!$B$11</f>
        <v>392.699081698724</v>
      </c>
      <c r="O10" s="21" t="n">
        <f aca="false">F10*(الافتراضات!$B$15*(الافتراضات!$B$4-الافتراضات!$B$5)+الافتراضات!$B$16)</f>
        <v>0</v>
      </c>
      <c r="P10" s="21" t="n">
        <f aca="false">G10*(الافتراضات!$B$18*(الافتراضات!$B$4-الافتراضات!$B$5)+الافتراضات!$B$19)*الافتراضات!$B$20</f>
        <v>14129.3129595201</v>
      </c>
      <c r="Q10" s="21" t="n">
        <f aca="false">H10*الافتراضات!$B$21*الافتراضات!$B$22</f>
        <v>0</v>
      </c>
      <c r="R10" s="21" t="n">
        <f aca="false">D10*الافتراضات!$B$23*I10/3600*الافتراضات!$B$28*الافتراضات!$B$29*1000*(الافتراضات!$B$4-الافتراضات!$B$5)</f>
        <v>524.9012275526</v>
      </c>
      <c r="S10" s="21" t="n">
        <f aca="false">D10*الافتراضات!$B$23*I10/3600*الافتراضات!$B$28*الافتراضات!$B$30*1000*الافتراضات!$B$6</f>
        <v>137.444678594553</v>
      </c>
      <c r="T10" s="21" t="n">
        <f aca="false">J10*الافتراضات!$B$12+D10*الافتراضات!$B$13</f>
        <v>113.097335529233</v>
      </c>
      <c r="U10" s="21" t="n">
        <f aca="false">T10/1000*الافتراضات!$B$28*الافتراضات!$B$29*1000*(الافتراضات!$B$4-الافتراضات!$B$5)</f>
        <v>2591.51234631683</v>
      </c>
      <c r="V10" s="21" t="n">
        <f aca="false">T10/1000*الافتراضات!$B$28*الافتراضات!$B$30*1000*الافتراضات!$B$6</f>
        <v>678.584013175395</v>
      </c>
      <c r="W10" s="23" t="n">
        <f aca="false">SUM(K10:S10)/1000</f>
        <v>19.4255080297122</v>
      </c>
      <c r="X10" s="23" t="n">
        <f aca="false">W10+الافتراضات!$B$14*(U10+V10)/1000</f>
        <v>22.6956043892044</v>
      </c>
      <c r="Y10" s="24" t="n">
        <f aca="false">IF(الافتراضات!$B$25=1,D10/الافتراضات!$B$26,X10*1000*(1+الافتراضات!$B$24)/الافتراضات!$B$27)</f>
        <v>5.23598775598299</v>
      </c>
      <c r="Z10" s="7" t="n">
        <f aca="false">IF(Y10&gt;0,D10/Y10,0)</f>
        <v>15</v>
      </c>
      <c r="AA10" s="25" t="n">
        <v>1</v>
      </c>
      <c r="AB10" s="26" t="n">
        <v>6</v>
      </c>
      <c r="AC10" s="27" t="n">
        <f aca="false">IF(AB10&gt;0,ROUNDUP(Y10/AB10,0),0)</f>
        <v>1</v>
      </c>
      <c r="AD10" s="23" t="n">
        <f aca="false">AC10*AB10</f>
        <v>6</v>
      </c>
      <c r="AE10" s="4" t="s">
        <v>135</v>
      </c>
    </row>
    <row r="11" customFormat="false" ht="26.85" hidden="false" customHeight="false" outlineLevel="0" collapsed="false">
      <c r="A11" s="19" t="n">
        <v>7</v>
      </c>
      <c r="B11" s="4" t="s">
        <v>136</v>
      </c>
      <c r="C11" s="4" t="s">
        <v>137</v>
      </c>
      <c r="D11" s="20" t="n">
        <f aca="false">PI()*30*15/4</f>
        <v>353.429173528852</v>
      </c>
      <c r="E11" s="20" t="n">
        <v>0</v>
      </c>
      <c r="F11" s="21" t="n">
        <f aca="false">E11*الافتراضات!$B$17</f>
        <v>0</v>
      </c>
      <c r="G11" s="20" t="n">
        <f aca="false">PI()*30*15/4</f>
        <v>353.429173528852</v>
      </c>
      <c r="H11" s="20" t="n">
        <v>0</v>
      </c>
      <c r="I11" s="22" t="n">
        <v>0.3</v>
      </c>
      <c r="J11" s="21" t="n">
        <f aca="false">D11*الافتراضات!$B$7</f>
        <v>106.028752058656</v>
      </c>
      <c r="K11" s="21" t="n">
        <f aca="false">J11*الافتراضات!$B$8</f>
        <v>7952.15640439916</v>
      </c>
      <c r="L11" s="21" t="n">
        <f aca="false">J11*الافتراضات!$B$9</f>
        <v>5831.58136322605</v>
      </c>
      <c r="M11" s="21" t="n">
        <f aca="false">D11*الافتراضات!$B$10</f>
        <v>5301.43760293278</v>
      </c>
      <c r="N11" s="21" t="n">
        <f aca="false">D11*الافتراضات!$B$11</f>
        <v>1767.14586764426</v>
      </c>
      <c r="O11" s="21" t="n">
        <f aca="false">F11*(الافتراضات!$B$15*(الافتراضات!$B$4-الافتراضات!$B$5)+الافتراضات!$B$16)</f>
        <v>0</v>
      </c>
      <c r="P11" s="21" t="n">
        <f aca="false">G11*(الافتراضات!$B$18*(الافتراضات!$B$4-الافتراضات!$B$5)+الافتراضات!$B$19)*الافتراضات!$B$20</f>
        <v>63581.9083178404</v>
      </c>
      <c r="Q11" s="21" t="n">
        <f aca="false">H11*الافتراضات!$B$21*الافتراضات!$B$22</f>
        <v>0</v>
      </c>
      <c r="R11" s="21" t="n">
        <f aca="false">D11*الافتراضات!$B$23*I11/3600*الافتراضات!$B$28*الافتراضات!$B$29*1000*(الافتراضات!$B$4-الافتراضات!$B$5)</f>
        <v>2362.0555239867</v>
      </c>
      <c r="S11" s="21" t="n">
        <f aca="false">D11*الافتراضات!$B$23*I11/3600*الافتراضات!$B$28*الافتراضات!$B$30*1000*الافتراضات!$B$6</f>
        <v>618.501053675491</v>
      </c>
      <c r="T11" s="21" t="n">
        <f aca="false">J11*الافتراضات!$B$12+D11*الافتراضات!$B$13</f>
        <v>508.938009881546</v>
      </c>
      <c r="U11" s="21" t="n">
        <f aca="false">T11/1000*الافتراضات!$B$28*الافتراضات!$B$29*1000*(الافتراضات!$B$4-الافتراضات!$B$5)</f>
        <v>11661.8055584258</v>
      </c>
      <c r="V11" s="21" t="n">
        <f aca="false">T11/1000*الافتراضات!$B$28*الافتراضات!$B$30*1000*الافتراضات!$B$6</f>
        <v>3053.62805928928</v>
      </c>
      <c r="W11" s="23" t="n">
        <f aca="false">SUM(K11:S11)/1000</f>
        <v>87.4147861337049</v>
      </c>
      <c r="X11" s="23" t="n">
        <f aca="false">W11+الافتراضات!$B$14*(U11+V11)/1000</f>
        <v>102.13021975142</v>
      </c>
      <c r="Y11" s="24" t="n">
        <f aca="false">IF(الافتراضات!$B$25=1,D11/الافتراضات!$B$26,X11*1000*(1+الافتراضات!$B$24)/الافتراضات!$B$27)</f>
        <v>23.5619449019234</v>
      </c>
      <c r="Z11" s="7" t="n">
        <f aca="false">IF(Y11&gt;0,D11/Y11,0)</f>
        <v>15</v>
      </c>
      <c r="AA11" s="25" t="n">
        <v>0</v>
      </c>
      <c r="AB11" s="26" t="n">
        <v>6</v>
      </c>
      <c r="AC11" s="27" t="n">
        <f aca="false">IF(AB11&gt;0,ROUNDUP(Y11/AB11,0),0)</f>
        <v>4</v>
      </c>
      <c r="AD11" s="23" t="n">
        <f aca="false">AC11*AB11</f>
        <v>24</v>
      </c>
      <c r="AE11" s="4" t="s">
        <v>138</v>
      </c>
    </row>
    <row r="12" customFormat="false" ht="26.85" hidden="false" customHeight="false" outlineLevel="0" collapsed="false">
      <c r="A12" s="19" t="n">
        <v>8</v>
      </c>
      <c r="B12" s="4" t="s">
        <v>136</v>
      </c>
      <c r="C12" s="4" t="s">
        <v>139</v>
      </c>
      <c r="D12" s="20" t="n">
        <f aca="false">PI()*20*5/4</f>
        <v>78.5398163397448</v>
      </c>
      <c r="E12" s="20" t="n">
        <v>0</v>
      </c>
      <c r="F12" s="21" t="n">
        <f aca="false">E12*الافتراضات!$B$17</f>
        <v>0</v>
      </c>
      <c r="G12" s="20" t="n">
        <f aca="false">PI()*20*5/4</f>
        <v>78.5398163397448</v>
      </c>
      <c r="H12" s="20" t="n">
        <v>0</v>
      </c>
      <c r="I12" s="22" t="n">
        <v>0.3</v>
      </c>
      <c r="J12" s="21" t="n">
        <f aca="false">D12*الافتراضات!$B$7</f>
        <v>23.5619449019235</v>
      </c>
      <c r="K12" s="21" t="n">
        <f aca="false">J12*الافتراضات!$B$8</f>
        <v>1767.14586764426</v>
      </c>
      <c r="L12" s="21" t="n">
        <f aca="false">J12*الافتراضات!$B$9</f>
        <v>1295.90696960579</v>
      </c>
      <c r="M12" s="21" t="n">
        <f aca="false">D12*الافتراضات!$B$10</f>
        <v>1178.09724509617</v>
      </c>
      <c r="N12" s="21" t="n">
        <f aca="false">D12*الافتراضات!$B$11</f>
        <v>392.699081698724</v>
      </c>
      <c r="O12" s="21" t="n">
        <f aca="false">F12*(الافتراضات!$B$15*(الافتراضات!$B$4-الافتراضات!$B$5)+الافتراضات!$B$16)</f>
        <v>0</v>
      </c>
      <c r="P12" s="21" t="n">
        <f aca="false">G12*(الافتراضات!$B$18*(الافتراضات!$B$4-الافتراضات!$B$5)+الافتراضات!$B$19)*الافتراضات!$B$20</f>
        <v>14129.3129595201</v>
      </c>
      <c r="Q12" s="21" t="n">
        <f aca="false">H12*الافتراضات!$B$21*الافتراضات!$B$22</f>
        <v>0</v>
      </c>
      <c r="R12" s="21" t="n">
        <f aca="false">D12*الافتراضات!$B$23*I12/3600*الافتراضات!$B$28*الافتراضات!$B$29*1000*(الافتراضات!$B$4-الافتراضات!$B$5)</f>
        <v>524.9012275526</v>
      </c>
      <c r="S12" s="21" t="n">
        <f aca="false">D12*الافتراضات!$B$23*I12/3600*الافتراضات!$B$28*الافتراضات!$B$30*1000*الافتراضات!$B$6</f>
        <v>137.444678594553</v>
      </c>
      <c r="T12" s="21" t="n">
        <f aca="false">J12*الافتراضات!$B$12+D12*الافتراضات!$B$13</f>
        <v>113.097335529233</v>
      </c>
      <c r="U12" s="21" t="n">
        <f aca="false">T12/1000*الافتراضات!$B$28*الافتراضات!$B$29*1000*(الافتراضات!$B$4-الافتراضات!$B$5)</f>
        <v>2591.51234631683</v>
      </c>
      <c r="V12" s="21" t="n">
        <f aca="false">T12/1000*الافتراضات!$B$28*الافتراضات!$B$30*1000*الافتراضات!$B$6</f>
        <v>678.584013175395</v>
      </c>
      <c r="W12" s="23" t="n">
        <f aca="false">SUM(K12:S12)/1000</f>
        <v>19.4255080297122</v>
      </c>
      <c r="X12" s="23" t="n">
        <f aca="false">W12+الافتراضات!$B$14*(U12+V12)/1000</f>
        <v>22.6956043892044</v>
      </c>
      <c r="Y12" s="24" t="n">
        <f aca="false">IF(الافتراضات!$B$25=1,D12/الافتراضات!$B$26,X12*1000*(1+الافتراضات!$B$24)/الافتراضات!$B$27)</f>
        <v>5.23598775598299</v>
      </c>
      <c r="Z12" s="7" t="n">
        <f aca="false">IF(Y12&gt;0,D12/Y12,0)</f>
        <v>15</v>
      </c>
      <c r="AA12" s="25" t="n">
        <v>0</v>
      </c>
      <c r="AB12" s="26" t="n">
        <v>4</v>
      </c>
      <c r="AC12" s="27" t="n">
        <f aca="false">IF(AB12&gt;0,ROUNDUP(Y12/AB12,0),0)</f>
        <v>2</v>
      </c>
      <c r="AD12" s="23" t="n">
        <f aca="false">AC12*AB12</f>
        <v>8</v>
      </c>
      <c r="AE12" s="4" t="s">
        <v>140</v>
      </c>
    </row>
    <row r="13" customFormat="false" ht="15" hidden="false" customHeight="false" outlineLevel="0" collapsed="false">
      <c r="C13" s="8" t="s">
        <v>141</v>
      </c>
      <c r="D13" s="9" t="n">
        <f aca="false">SUMPRODUCT(D5:D12,$AA$5:$AA$12)</f>
        <v>3828.53981633975</v>
      </c>
      <c r="J13" s="9" t="n">
        <f aca="false">SUMPRODUCT(J5:J12,$AA$5:$AA$12)</f>
        <v>1148.56194490192</v>
      </c>
      <c r="W13" s="10" t="n">
        <f aca="false">SUMPRODUCT(W5:W12,$AA$5:$AA$12)</f>
        <v>396.300383029712</v>
      </c>
      <c r="X13" s="10" t="n">
        <f aca="false">SUMPRODUCT(X5:X12,$AA$5:$AA$12)</f>
        <v>555.706079389204</v>
      </c>
      <c r="Y13" s="10" t="n">
        <f aca="false">SUMPRODUCT(Y5:Y12,$AA$5:$AA$12)</f>
        <v>255.235987755983</v>
      </c>
      <c r="Z13" s="11" t="n">
        <f aca="false">IF(Y13&gt;0,D13/Y13,0)</f>
        <v>15</v>
      </c>
      <c r="AC13" s="9" t="n">
        <f aca="false">SUMPRODUCT(AC5:AC12,$AA$5:$AA$12)</f>
        <v>66</v>
      </c>
      <c r="AD13" s="9" t="n">
        <f aca="false">SUMPRODUCT(AD5:AD12,$AA$5:$AA$12)</f>
        <v>266</v>
      </c>
    </row>
    <row r="15" customFormat="false" ht="15" hidden="false" customHeight="false" outlineLevel="0" collapsed="false">
      <c r="C15" s="2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46"/>
  </cols>
  <sheetData>
    <row r="1" customFormat="false" ht="17.1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3" customFormat="false" ht="26.85" hidden="false" customHeight="false" outlineLevel="0" collapsed="false">
      <c r="F3" s="28" t="s">
        <v>145</v>
      </c>
      <c r="G3" s="18" t="n">
        <v>1</v>
      </c>
    </row>
    <row r="4" customFormat="false" ht="15" hidden="false" customHeight="false" outlineLevel="0" collapsed="false">
      <c r="A4" s="3" t="s">
        <v>146</v>
      </c>
      <c r="B4" s="3" t="s">
        <v>147</v>
      </c>
      <c r="C4" s="3" t="s">
        <v>148</v>
      </c>
      <c r="D4" s="3" t="s">
        <v>29</v>
      </c>
      <c r="E4" s="3" t="s">
        <v>149</v>
      </c>
      <c r="F4" s="3" t="s">
        <v>150</v>
      </c>
      <c r="G4" s="3" t="s">
        <v>151</v>
      </c>
      <c r="H4" s="3" t="s">
        <v>128</v>
      </c>
    </row>
    <row r="5" customFormat="false" ht="15" hidden="false" customHeight="true" outlineLevel="0" collapsed="false">
      <c r="A5" s="29" t="s">
        <v>152</v>
      </c>
      <c r="B5" s="29"/>
      <c r="C5" s="29"/>
      <c r="D5" s="29"/>
      <c r="E5" s="29"/>
      <c r="F5" s="29"/>
      <c r="G5" s="29"/>
      <c r="H5" s="29"/>
    </row>
    <row r="6" customFormat="false" ht="15" hidden="false" customHeight="true" outlineLevel="0" collapsed="false">
      <c r="A6" s="4" t="s">
        <v>153</v>
      </c>
      <c r="B6" s="4" t="s">
        <v>154</v>
      </c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30"/>
      <c r="B7" s="4" t="str">
        <f aca="false">"سيستم وحدات خارجية لـ "&amp;"البدروم (شامل قاع البهو الدائري)"&amp;" بإجمالي قدرة "&amp;TEXT(E7,"0.0")&amp;" طن تبريد"</f>
        <v>سيستم وحدات خارجية لـ البدروم (شامل قاع البهو الدائري) بإجمالي قدرة 58.0 طن تبريد</v>
      </c>
      <c r="C7" s="4" t="s">
        <v>155</v>
      </c>
      <c r="D7" s="4" t="s">
        <v>156</v>
      </c>
      <c r="E7" s="6" t="n">
        <f aca="false">('حساب الأحمال'!AD5*'حساب الأحمال'!AA5+'حساب الأحمال'!AD10*'حساب الأحمال'!AA10)*$E$48</f>
        <v>58</v>
      </c>
      <c r="F7" s="21" t="n">
        <f aca="false">$E$40*$G$3</f>
        <v>39000</v>
      </c>
      <c r="G7" s="21" t="n">
        <f aca="false">E7*F7</f>
        <v>2262000</v>
      </c>
      <c r="H7" s="30"/>
    </row>
    <row r="8" customFormat="false" ht="15" hidden="false" customHeight="false" outlineLevel="0" collapsed="false">
      <c r="A8" s="30"/>
      <c r="B8" s="4" t="str">
        <f aca="false">"سيستم وحدات خارجية لـ "&amp;"الدور الأرضي"&amp;" بإجمالي قدرة "&amp;TEXT(E8,"0.0")&amp;" طن تبريد"</f>
        <v>سيستم وحدات خارجية لـ الدور الأرضي بإجمالي قدرة 52.0 طن تبريد</v>
      </c>
      <c r="C8" s="4" t="s">
        <v>155</v>
      </c>
      <c r="D8" s="4" t="s">
        <v>156</v>
      </c>
      <c r="E8" s="6" t="n">
        <f aca="false">('حساب الأحمال'!AD6*'حساب الأحمال'!AA6)*$E$48</f>
        <v>52</v>
      </c>
      <c r="F8" s="21" t="n">
        <f aca="false">$E$40*$G$3</f>
        <v>39000</v>
      </c>
      <c r="G8" s="21" t="n">
        <f aca="false">E8*F8</f>
        <v>2028000</v>
      </c>
      <c r="H8" s="30"/>
    </row>
    <row r="9" customFormat="false" ht="15" hidden="false" customHeight="false" outlineLevel="0" collapsed="false">
      <c r="A9" s="30"/>
      <c r="B9" s="4" t="str">
        <f aca="false">"سيستم وحدات خارجية لـ "&amp;"الدور الأول"&amp;" بإجمالي قدرة "&amp;TEXT(E9,"0.0")&amp;" طن تبريد"</f>
        <v>سيستم وحدات خارجية لـ الدور الأول بإجمالي قدرة 52.0 طن تبريد</v>
      </c>
      <c r="C9" s="4" t="s">
        <v>155</v>
      </c>
      <c r="D9" s="4" t="s">
        <v>156</v>
      </c>
      <c r="E9" s="6" t="n">
        <f aca="false">('حساب الأحمال'!AD7*'حساب الأحمال'!AA7)*$E$48</f>
        <v>52</v>
      </c>
      <c r="F9" s="21" t="n">
        <f aca="false">$E$40*$G$3</f>
        <v>39000</v>
      </c>
      <c r="G9" s="21" t="n">
        <f aca="false">E9*F9</f>
        <v>2028000</v>
      </c>
      <c r="H9" s="30"/>
    </row>
    <row r="10" customFormat="false" ht="15" hidden="false" customHeight="false" outlineLevel="0" collapsed="false">
      <c r="A10" s="30"/>
      <c r="B10" s="4" t="str">
        <f aca="false">"سيستم وحدات خارجية لـ "&amp;"الدور الثاني"&amp;" بإجمالي قدرة "&amp;TEXT(E10,"0.0")&amp;" طن تبريد"</f>
        <v>سيستم وحدات خارجية لـ الدور الثاني بإجمالي قدرة 52.0 طن تبريد</v>
      </c>
      <c r="C10" s="4" t="s">
        <v>155</v>
      </c>
      <c r="D10" s="4" t="s">
        <v>156</v>
      </c>
      <c r="E10" s="6" t="n">
        <f aca="false">('حساب الأحمال'!AD8*'حساب الأحمال'!AA8)*$E$48</f>
        <v>52</v>
      </c>
      <c r="F10" s="21" t="n">
        <f aca="false">$E$40*$G$3</f>
        <v>39000</v>
      </c>
      <c r="G10" s="21" t="n">
        <f aca="false">E10*F10</f>
        <v>2028000</v>
      </c>
      <c r="H10" s="30"/>
    </row>
    <row r="11" customFormat="false" ht="15" hidden="false" customHeight="false" outlineLevel="0" collapsed="false">
      <c r="A11" s="30"/>
      <c r="B11" s="4" t="str">
        <f aca="false">"سيستم وحدات خارجية لـ "&amp;"الدور الثالث"&amp;" بإجمالي قدرة "&amp;TEXT(E11,"0.0")&amp;" طن تبريد"</f>
        <v>سيستم وحدات خارجية لـ الدور الثالث بإجمالي قدرة 52.0 طن تبريد</v>
      </c>
      <c r="C11" s="4" t="s">
        <v>155</v>
      </c>
      <c r="D11" s="4" t="s">
        <v>156</v>
      </c>
      <c r="E11" s="6" t="n">
        <f aca="false">('حساب الأحمال'!AD9*'حساب الأحمال'!AA9)*$E$48</f>
        <v>52</v>
      </c>
      <c r="F11" s="21" t="n">
        <f aca="false">$E$40*$G$3</f>
        <v>39000</v>
      </c>
      <c r="G11" s="21" t="n">
        <f aca="false">E11*F11</f>
        <v>2028000</v>
      </c>
      <c r="H11" s="30"/>
    </row>
    <row r="12" customFormat="false" ht="15" hidden="false" customHeight="true" outlineLevel="0" collapsed="false">
      <c r="A12" s="4" t="s">
        <v>157</v>
      </c>
      <c r="B12" s="4" t="s">
        <v>158</v>
      </c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30"/>
      <c r="B13" s="4" t="s">
        <v>159</v>
      </c>
      <c r="C13" s="4" t="s">
        <v>155</v>
      </c>
      <c r="D13" s="4" t="s">
        <v>160</v>
      </c>
      <c r="E13" s="5" t="n">
        <f aca="false">SUMPRODUCT(('حساب الأحمال'!$AB$5:$AB$12=4)*'حساب الأحمال'!$AC$5:$AC$12*'حساب الأحمال'!$AA$5:$AA$12)</f>
        <v>65</v>
      </c>
      <c r="F13" s="21" t="n">
        <f aca="false">4*$E$41*$G$3</f>
        <v>104000</v>
      </c>
      <c r="G13" s="21" t="n">
        <f aca="false">E13*F13</f>
        <v>6760000</v>
      </c>
      <c r="H13" s="30"/>
    </row>
    <row r="14" customFormat="false" ht="15" hidden="false" customHeight="false" outlineLevel="0" collapsed="false">
      <c r="A14" s="30"/>
      <c r="B14" s="4" t="s">
        <v>161</v>
      </c>
      <c r="C14" s="4" t="s">
        <v>155</v>
      </c>
      <c r="D14" s="4" t="s">
        <v>160</v>
      </c>
      <c r="E14" s="5" t="n">
        <f aca="false">SUMPRODUCT(('حساب الأحمال'!$AB$5:$AB$12=5)*'حساب الأحمال'!$AC$5:$AC$12*'حساب الأحمال'!$AA$5:$AA$12)</f>
        <v>0</v>
      </c>
      <c r="F14" s="21" t="n">
        <f aca="false">5*$E$41*$G$3</f>
        <v>130000</v>
      </c>
      <c r="G14" s="21" t="n">
        <f aca="false">E14*F14</f>
        <v>0</v>
      </c>
      <c r="H14" s="30"/>
    </row>
    <row r="15" customFormat="false" ht="15" hidden="false" customHeight="false" outlineLevel="0" collapsed="false">
      <c r="A15" s="30"/>
      <c r="B15" s="4" t="s">
        <v>162</v>
      </c>
      <c r="C15" s="4" t="s">
        <v>155</v>
      </c>
      <c r="D15" s="4" t="s">
        <v>160</v>
      </c>
      <c r="E15" s="5" t="n">
        <f aca="false">SUMPRODUCT(('حساب الأحمال'!$AB$5:$AB$12=6)*'حساب الأحمال'!$AC$5:$AC$12*'حساب الأحمال'!$AA$5:$AA$12)</f>
        <v>1</v>
      </c>
      <c r="F15" s="21" t="n">
        <f aca="false">6*$E$41*$G$3</f>
        <v>156000</v>
      </c>
      <c r="G15" s="21" t="n">
        <f aca="false">E15*F15</f>
        <v>156000</v>
      </c>
      <c r="H15" s="30"/>
    </row>
    <row r="16" customFormat="false" ht="15" hidden="false" customHeight="true" outlineLevel="0" collapsed="false">
      <c r="A16" s="29" t="s">
        <v>163</v>
      </c>
      <c r="B16" s="29"/>
      <c r="C16" s="29"/>
      <c r="D16" s="29"/>
      <c r="E16" s="29"/>
      <c r="F16" s="29"/>
      <c r="G16" s="29"/>
      <c r="H16" s="29"/>
    </row>
    <row r="17" customFormat="false" ht="26.85" hidden="false" customHeight="false" outlineLevel="0" collapsed="false">
      <c r="A17" s="4" t="s">
        <v>164</v>
      </c>
      <c r="B17" s="4" t="s">
        <v>165</v>
      </c>
      <c r="C17" s="4" t="s">
        <v>166</v>
      </c>
      <c r="D17" s="4" t="s">
        <v>167</v>
      </c>
      <c r="E17" s="21" t="n">
        <f aca="false">SUM(E13:E15)*$E$42</f>
        <v>990</v>
      </c>
      <c r="F17" s="21" t="n">
        <f aca="false">$E$43*$G$3</f>
        <v>4500</v>
      </c>
      <c r="G17" s="21" t="n">
        <f aca="false">E17*F17</f>
        <v>4455000</v>
      </c>
      <c r="H17" s="30"/>
    </row>
    <row r="18" customFormat="false" ht="15" hidden="false" customHeight="false" outlineLevel="0" collapsed="false">
      <c r="A18" s="4" t="s">
        <v>168</v>
      </c>
      <c r="B18" s="4" t="s">
        <v>169</v>
      </c>
      <c r="C18" s="4" t="s">
        <v>155</v>
      </c>
      <c r="D18" s="4" t="s">
        <v>160</v>
      </c>
      <c r="E18" s="21" t="n">
        <f aca="false">SUM(E13:E15)</f>
        <v>66</v>
      </c>
      <c r="F18" s="21" t="n">
        <f aca="false">$E$44*$G$3</f>
        <v>8000</v>
      </c>
      <c r="G18" s="21" t="n">
        <f aca="false">E18*F18</f>
        <v>528000</v>
      </c>
      <c r="H18" s="30"/>
    </row>
    <row r="19" customFormat="false" ht="15" hidden="false" customHeight="false" outlineLevel="0" collapsed="false">
      <c r="A19" s="4" t="s">
        <v>170</v>
      </c>
      <c r="B19" s="4" t="s">
        <v>171</v>
      </c>
      <c r="C19" s="4"/>
      <c r="D19" s="4" t="s">
        <v>160</v>
      </c>
      <c r="E19" s="21" t="n">
        <f aca="false">SUM(E13:E15)</f>
        <v>66</v>
      </c>
      <c r="F19" s="21" t="n">
        <f aca="false">$E$45*$G$3</f>
        <v>7000</v>
      </c>
      <c r="G19" s="21" t="n">
        <f aca="false">E19*F19</f>
        <v>462000</v>
      </c>
      <c r="H19" s="30"/>
    </row>
    <row r="20" customFormat="false" ht="15" hidden="false" customHeight="true" outlineLevel="0" collapsed="false">
      <c r="A20" s="29" t="s">
        <v>172</v>
      </c>
      <c r="B20" s="29"/>
      <c r="C20" s="29"/>
      <c r="D20" s="29"/>
      <c r="E20" s="29"/>
      <c r="F20" s="29"/>
      <c r="G20" s="29"/>
      <c r="H20" s="29"/>
    </row>
    <row r="21" customFormat="false" ht="15" hidden="false" customHeight="false" outlineLevel="0" collapsed="false">
      <c r="A21" s="4" t="s">
        <v>173</v>
      </c>
      <c r="B21" s="4" t="s">
        <v>174</v>
      </c>
      <c r="C21" s="30"/>
      <c r="D21" s="4" t="s">
        <v>160</v>
      </c>
      <c r="E21" s="21" t="n">
        <f aca="false">ROUNDUP(E7/$E$47,0)+ROUNDUP(E8/$E$47,0)+ROUNDUP(E9/$E$47,0)+ROUNDUP(E10/$E$47,0)+ROUNDUP(E11/$E$47,0)</f>
        <v>15</v>
      </c>
      <c r="F21" s="21" t="n">
        <f aca="false">$E$46*$G$3</f>
        <v>50000</v>
      </c>
      <c r="G21" s="21" t="n">
        <f aca="false">E21*F21</f>
        <v>750000</v>
      </c>
      <c r="H21" s="30"/>
    </row>
    <row r="22" customFormat="false" ht="15" hidden="false" customHeight="true" outlineLevel="0" collapsed="false">
      <c r="A22" s="29" t="s">
        <v>175</v>
      </c>
      <c r="B22" s="29"/>
      <c r="C22" s="29"/>
      <c r="D22" s="29"/>
      <c r="E22" s="29"/>
      <c r="F22" s="29"/>
      <c r="G22" s="29"/>
      <c r="H22" s="29"/>
    </row>
    <row r="23" customFormat="false" ht="15" hidden="false" customHeight="false" outlineLevel="0" collapsed="false">
      <c r="A23" s="4" t="s">
        <v>176</v>
      </c>
      <c r="B23" s="4" t="s">
        <v>177</v>
      </c>
      <c r="C23" s="30"/>
      <c r="D23" s="4" t="s">
        <v>178</v>
      </c>
      <c r="E23" s="21" t="n">
        <f aca="false">'حساب الأحمال'!D13*$E$49</f>
        <v>3062.8318530718</v>
      </c>
      <c r="F23" s="21" t="n">
        <f aca="false">$E$50*$G$3</f>
        <v>0</v>
      </c>
      <c r="G23" s="21" t="n">
        <f aca="false">E23*F23</f>
        <v>0</v>
      </c>
      <c r="H23" s="31" t="s">
        <v>179</v>
      </c>
    </row>
    <row r="24" customFormat="false" ht="15" hidden="false" customHeight="false" outlineLevel="0" collapsed="false">
      <c r="A24" s="4" t="s">
        <v>180</v>
      </c>
      <c r="B24" s="4" t="s">
        <v>181</v>
      </c>
      <c r="C24" s="30"/>
      <c r="D24" s="4" t="s">
        <v>160</v>
      </c>
      <c r="E24" s="21" t="n">
        <f aca="false">ROUNDUP('حساب الأحمال'!AD13*الافتراضات!$B$31/الافتراضات!$B$32,0)</f>
        <v>665</v>
      </c>
      <c r="F24" s="21" t="n">
        <f aca="false">$E$51*$G$3</f>
        <v>0</v>
      </c>
      <c r="G24" s="21" t="n">
        <f aca="false">E24*F24</f>
        <v>0</v>
      </c>
      <c r="H24" s="31" t="s">
        <v>182</v>
      </c>
    </row>
    <row r="25" customFormat="false" ht="15" hidden="false" customHeight="false" outlineLevel="0" collapsed="false">
      <c r="A25" s="30"/>
      <c r="B25" s="8" t="s">
        <v>183</v>
      </c>
      <c r="C25" s="30"/>
      <c r="D25" s="30"/>
      <c r="E25" s="30"/>
      <c r="F25" s="30"/>
      <c r="G25" s="9" t="n">
        <f aca="false">G7+G8+G9+G10+G11+G13+G14+G15+G17+G18+G19+G21+G23+G24</f>
        <v>23485000</v>
      </c>
      <c r="H25" s="30"/>
    </row>
    <row r="39" customFormat="false" ht="15" hidden="false" customHeight="false" outlineLevel="0" collapsed="false">
      <c r="A39" s="32" t="s">
        <v>184</v>
      </c>
    </row>
    <row r="40" customFormat="false" ht="15" hidden="false" customHeight="false" outlineLevel="0" collapsed="false">
      <c r="B40" s="4" t="s">
        <v>185</v>
      </c>
      <c r="E40" s="33" t="n">
        <v>39000</v>
      </c>
      <c r="H40" s="4" t="s">
        <v>186</v>
      </c>
    </row>
    <row r="41" customFormat="false" ht="15" hidden="false" customHeight="false" outlineLevel="0" collapsed="false">
      <c r="B41" s="4" t="s">
        <v>187</v>
      </c>
      <c r="E41" s="33" t="n">
        <v>26000</v>
      </c>
      <c r="H41" s="4" t="s">
        <v>188</v>
      </c>
    </row>
    <row r="42" customFormat="false" ht="15" hidden="false" customHeight="false" outlineLevel="0" collapsed="false">
      <c r="B42" s="4" t="s">
        <v>189</v>
      </c>
      <c r="E42" s="33" t="n">
        <v>15</v>
      </c>
      <c r="H42" s="4" t="s">
        <v>190</v>
      </c>
    </row>
    <row r="43" customFormat="false" ht="15" hidden="false" customHeight="false" outlineLevel="0" collapsed="false">
      <c r="B43" s="4" t="s">
        <v>191</v>
      </c>
      <c r="E43" s="33" t="n">
        <v>4500</v>
      </c>
      <c r="H43" s="4" t="s">
        <v>192</v>
      </c>
    </row>
    <row r="44" customFormat="false" ht="15" hidden="false" customHeight="false" outlineLevel="0" collapsed="false">
      <c r="B44" s="4" t="s">
        <v>193</v>
      </c>
      <c r="E44" s="33" t="n">
        <v>8000</v>
      </c>
      <c r="H44" s="4" t="s">
        <v>192</v>
      </c>
    </row>
    <row r="45" customFormat="false" ht="15" hidden="false" customHeight="false" outlineLevel="0" collapsed="false">
      <c r="B45" s="4" t="s">
        <v>194</v>
      </c>
      <c r="E45" s="33" t="n">
        <v>7000</v>
      </c>
      <c r="H45" s="4" t="s">
        <v>192</v>
      </c>
    </row>
    <row r="46" customFormat="false" ht="15" hidden="false" customHeight="false" outlineLevel="0" collapsed="false">
      <c r="B46" s="4" t="s">
        <v>195</v>
      </c>
      <c r="E46" s="33" t="n">
        <v>50000</v>
      </c>
      <c r="H46" s="4" t="s">
        <v>192</v>
      </c>
    </row>
    <row r="47" customFormat="false" ht="15" hidden="false" customHeight="false" outlineLevel="0" collapsed="false">
      <c r="B47" s="4" t="s">
        <v>196</v>
      </c>
      <c r="E47" s="33" t="n">
        <v>24</v>
      </c>
      <c r="H47" s="4" t="s">
        <v>197</v>
      </c>
    </row>
    <row r="48" customFormat="false" ht="15" hidden="false" customHeight="false" outlineLevel="0" collapsed="false">
      <c r="B48" s="4" t="s">
        <v>198</v>
      </c>
      <c r="E48" s="34" t="n">
        <v>1</v>
      </c>
      <c r="H48" s="4" t="s">
        <v>199</v>
      </c>
    </row>
    <row r="49" customFormat="false" ht="15" hidden="false" customHeight="false" outlineLevel="0" collapsed="false">
      <c r="B49" s="4" t="s">
        <v>200</v>
      </c>
      <c r="E49" s="34" t="n">
        <v>0.8</v>
      </c>
      <c r="H49" s="4" t="s">
        <v>201</v>
      </c>
    </row>
    <row r="50" customFormat="false" ht="15" hidden="false" customHeight="false" outlineLevel="0" collapsed="false">
      <c r="B50" s="4" t="s">
        <v>202</v>
      </c>
      <c r="E50" s="33"/>
      <c r="H50" s="4" t="s">
        <v>203</v>
      </c>
    </row>
    <row r="51" customFormat="false" ht="15" hidden="false" customHeight="false" outlineLevel="0" collapsed="false">
      <c r="B51" s="4" t="s">
        <v>204</v>
      </c>
      <c r="E51" s="33"/>
      <c r="H51" s="4" t="s">
        <v>203</v>
      </c>
    </row>
  </sheetData>
  <mergeCells count="6">
    <mergeCell ref="A5:H5"/>
    <mergeCell ref="B6:H6"/>
    <mergeCell ref="B12:H12"/>
    <mergeCell ref="A16:H16"/>
    <mergeCell ref="A20:H20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2026-09-30T18:13:06Z</dcterms:created>
  <dc:creator>openpyxl</dc:creator>
  <dc:description/>
  <dc:language>en-US</dc:language>
  <cp:lastModifiedBy/>
  <dcterms:modified xsi:type="dcterms:W3CDTF">2026-09-30T18:13:06Z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